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ellenbosch-my.sharepoint.com/personal/24086533_sun_ac_za/Documents/Desktop/STELLENBOSCH UNIVERSITY MODULES/FOURTH YEAR MODULES/MECHATRONIC PROJECT/FINAL REPORT/EXPERIMENTAL RESULTS AGAINST SAVISTKY METHOD/INFO/"/>
    </mc:Choice>
  </mc:AlternateContent>
  <xr:revisionPtr revIDLastSave="3" documentId="13_ncr:1_{4A908B3E-5343-456C-9F10-50871354F73F}" xr6:coauthVersionLast="47" xr6:coauthVersionMax="47" xr10:uidLastSave="{1B915FC0-773B-4D59-8078-A4A06EE9CC3B}"/>
  <bookViews>
    <workbookView xWindow="-108" yWindow="-108" windowWidth="23256" windowHeight="12576" tabRatio="500" activeTab="2" xr2:uid="{00000000-000D-0000-FFFF-FFFF00000000}"/>
  </bookViews>
  <sheets>
    <sheet name="Inputs" sheetId="1" r:id="rId1"/>
    <sheet name="Wetted area regression" sheetId="2" r:id="rId2"/>
    <sheet name="ITTC 1957 50 m vess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3" l="1"/>
  <c r="D13" i="3"/>
  <c r="D12" i="3"/>
  <c r="D11" i="3"/>
  <c r="D10" i="3"/>
  <c r="D9" i="3"/>
  <c r="D8" i="3"/>
  <c r="D7" i="3"/>
  <c r="D6" i="3"/>
  <c r="D5" i="3"/>
  <c r="D4" i="3"/>
  <c r="D3" i="3"/>
  <c r="D2" i="3"/>
  <c r="B18" i="2"/>
  <c r="B17" i="2"/>
  <c r="B16" i="2"/>
  <c r="H7" i="2"/>
  <c r="G7" i="2"/>
  <c r="I7" i="2" s="1"/>
  <c r="J7" i="2" s="1"/>
  <c r="C7" i="2"/>
  <c r="D7" i="2" s="1"/>
  <c r="I6" i="2"/>
  <c r="J6" i="2" s="1"/>
  <c r="H6" i="2"/>
  <c r="G6" i="2"/>
  <c r="C6" i="2"/>
  <c r="D6" i="2" s="1"/>
  <c r="H5" i="2"/>
  <c r="G5" i="2"/>
  <c r="I5" i="2" s="1"/>
  <c r="J5" i="2" s="1"/>
  <c r="C5" i="2"/>
  <c r="D5" i="2" s="1"/>
  <c r="H4" i="2"/>
  <c r="G4" i="2"/>
  <c r="I4" i="2" s="1"/>
  <c r="J4" i="2" s="1"/>
  <c r="C4" i="2"/>
  <c r="D4" i="2" s="1"/>
  <c r="B17" i="1"/>
  <c r="B18" i="1" s="1"/>
  <c r="B19" i="1" s="1"/>
  <c r="B16" i="1"/>
  <c r="B15" i="1"/>
  <c r="B12" i="1"/>
  <c r="K7" i="3" s="1"/>
  <c r="F10" i="3" l="1"/>
  <c r="M10" i="3" s="1"/>
  <c r="L7" i="3"/>
  <c r="G10" i="3"/>
  <c r="I10" i="3" s="1"/>
  <c r="B11" i="2"/>
  <c r="B10" i="2"/>
  <c r="B13" i="2"/>
  <c r="B12" i="2"/>
  <c r="K6" i="3"/>
  <c r="F9" i="3"/>
  <c r="K14" i="3"/>
  <c r="K5" i="3"/>
  <c r="F8" i="3"/>
  <c r="K13" i="3"/>
  <c r="K4" i="3"/>
  <c r="F7" i="3"/>
  <c r="K12" i="3"/>
  <c r="K3" i="3"/>
  <c r="F6" i="3"/>
  <c r="K11" i="3"/>
  <c r="F14" i="3"/>
  <c r="K2" i="3"/>
  <c r="F5" i="3"/>
  <c r="K10" i="3"/>
  <c r="F13" i="3"/>
  <c r="F4" i="3"/>
  <c r="K9" i="3"/>
  <c r="F12" i="3"/>
  <c r="F3" i="3"/>
  <c r="K8" i="3"/>
  <c r="F11" i="3"/>
  <c r="F2" i="3"/>
  <c r="L10" i="3" l="1"/>
  <c r="O10" i="3"/>
  <c r="P10" i="3" s="1"/>
  <c r="M2" i="3"/>
  <c r="G2" i="3"/>
  <c r="I2" i="3" s="1"/>
  <c r="E9" i="3"/>
  <c r="E10" i="3"/>
  <c r="E2" i="3"/>
  <c r="E11" i="3"/>
  <c r="E3" i="3"/>
  <c r="E4" i="3"/>
  <c r="E12" i="3"/>
  <c r="E13" i="3"/>
  <c r="E5" i="3"/>
  <c r="E14" i="3"/>
  <c r="E6" i="3"/>
  <c r="E7" i="3"/>
  <c r="E8" i="3"/>
  <c r="G3" i="3"/>
  <c r="I3" i="3" s="1"/>
  <c r="M3" i="3"/>
  <c r="G12" i="3"/>
  <c r="I12" i="3" s="1"/>
  <c r="M12" i="3"/>
  <c r="L5" i="3"/>
  <c r="G7" i="3"/>
  <c r="I7" i="3" s="1"/>
  <c r="M7" i="3"/>
  <c r="O7" i="3" s="1"/>
  <c r="P7" i="3" s="1"/>
  <c r="G11" i="3"/>
  <c r="I11" i="3" s="1"/>
  <c r="M11" i="3"/>
  <c r="G5" i="3"/>
  <c r="I5" i="3" s="1"/>
  <c r="M5" i="3"/>
  <c r="O5" i="3" s="1"/>
  <c r="P5" i="3" s="1"/>
  <c r="L4" i="3"/>
  <c r="L8" i="3"/>
  <c r="O13" i="3"/>
  <c r="P13" i="3" s="1"/>
  <c r="L13" i="3"/>
  <c r="G14" i="3"/>
  <c r="I14" i="3" s="1"/>
  <c r="M14" i="3"/>
  <c r="L9" i="3"/>
  <c r="L2" i="3"/>
  <c r="O2" i="3"/>
  <c r="P2" i="3" s="1"/>
  <c r="G8" i="3"/>
  <c r="I8" i="3" s="1"/>
  <c r="M8" i="3"/>
  <c r="O8" i="3" s="1"/>
  <c r="P8" i="3" s="1"/>
  <c r="O11" i="3"/>
  <c r="P11" i="3" s="1"/>
  <c r="L11" i="3"/>
  <c r="G6" i="3"/>
  <c r="I6" i="3" s="1"/>
  <c r="M6" i="3"/>
  <c r="O6" i="3" s="1"/>
  <c r="P6" i="3" s="1"/>
  <c r="O14" i="3"/>
  <c r="P14" i="3" s="1"/>
  <c r="L14" i="3"/>
  <c r="G4" i="3"/>
  <c r="I4" i="3" s="1"/>
  <c r="M4" i="3"/>
  <c r="O4" i="3" s="1"/>
  <c r="P4" i="3" s="1"/>
  <c r="O3" i="3"/>
  <c r="P3" i="3" s="1"/>
  <c r="L3" i="3"/>
  <c r="M9" i="3"/>
  <c r="O9" i="3" s="1"/>
  <c r="P9" i="3" s="1"/>
  <c r="G9" i="3"/>
  <c r="I9" i="3" s="1"/>
  <c r="G13" i="3"/>
  <c r="I13" i="3" s="1"/>
  <c r="M13" i="3"/>
  <c r="O12" i="3"/>
  <c r="P12" i="3" s="1"/>
  <c r="L12" i="3"/>
  <c r="L6" i="3"/>
  <c r="H14" i="3" l="1"/>
  <c r="J14" i="3" s="1"/>
  <c r="Q14" i="3" s="1"/>
  <c r="N14" i="3"/>
  <c r="N10" i="3"/>
  <c r="H10" i="3"/>
  <c r="J10" i="3" s="1"/>
  <c r="Q10" i="3" s="1"/>
  <c r="R10" i="3" s="1"/>
  <c r="N2" i="3"/>
  <c r="H2" i="3"/>
  <c r="J2" i="3" s="1"/>
  <c r="Q2" i="3" s="1"/>
  <c r="R2" i="3" s="1"/>
  <c r="H5" i="3"/>
  <c r="J5" i="3" s="1"/>
  <c r="Q5" i="3" s="1"/>
  <c r="N5" i="3"/>
  <c r="H9" i="3"/>
  <c r="J9" i="3" s="1"/>
  <c r="Q9" i="3" s="1"/>
  <c r="N9" i="3"/>
  <c r="H7" i="3"/>
  <c r="J7" i="3" s="1"/>
  <c r="Q7" i="3" s="1"/>
  <c r="N7" i="3"/>
  <c r="H6" i="3"/>
  <c r="J6" i="3" s="1"/>
  <c r="Q6" i="3" s="1"/>
  <c r="N6" i="3"/>
  <c r="H13" i="3"/>
  <c r="J13" i="3" s="1"/>
  <c r="Q13" i="3" s="1"/>
  <c r="N13" i="3"/>
  <c r="H12" i="3"/>
  <c r="J12" i="3" s="1"/>
  <c r="Q12" i="3" s="1"/>
  <c r="N12" i="3"/>
  <c r="H4" i="3"/>
  <c r="J4" i="3" s="1"/>
  <c r="Q4" i="3" s="1"/>
  <c r="N4" i="3"/>
  <c r="N11" i="3"/>
  <c r="H11" i="3"/>
  <c r="J11" i="3" s="1"/>
  <c r="Q11" i="3" s="1"/>
  <c r="R11" i="3" s="1"/>
  <c r="H8" i="3"/>
  <c r="J8" i="3" s="1"/>
  <c r="Q8" i="3" s="1"/>
  <c r="N8" i="3"/>
  <c r="N3" i="3"/>
  <c r="H3" i="3"/>
  <c r="J3" i="3" s="1"/>
  <c r="Q3" i="3" s="1"/>
  <c r="R7" i="3" l="1"/>
  <c r="R3" i="3"/>
  <c r="R8" i="3"/>
  <c r="R5" i="3"/>
  <c r="R6" i="3"/>
  <c r="R13" i="3"/>
  <c r="R4" i="3"/>
  <c r="R12" i="3"/>
  <c r="R9" i="3"/>
  <c r="R14" i="3"/>
</calcChain>
</file>

<file path=xl/sharedStrings.xml><?xml version="1.0" encoding="utf-8"?>
<sst xmlns="http://schemas.openxmlformats.org/spreadsheetml/2006/main" count="83" uniqueCount="71">
  <si>
    <t>Quantity</t>
  </si>
  <si>
    <t>Value</t>
  </si>
  <si>
    <t>Unit</t>
  </si>
  <si>
    <t>Source</t>
  </si>
  <si>
    <t>Model beam, b</t>
  </si>
  <si>
    <t>m</t>
  </si>
  <si>
    <t>Deadrise angle, β</t>
  </si>
  <si>
    <t>deg</t>
  </si>
  <si>
    <t>Model planing length, Lp,m</t>
  </si>
  <si>
    <t>Model displacement weight, Δm</t>
  </si>
  <si>
    <t>N</t>
  </si>
  <si>
    <t>Gravitational acceleration, g</t>
  </si>
  <si>
    <t>m/s²</t>
  </si>
  <si>
    <t>Model water density, clean resistance runs (16.8 °C), ρm</t>
  </si>
  <si>
    <t>kg/m³</t>
  </si>
  <si>
    <t>ITTC 7.5-02-01-03 (2011)</t>
  </si>
  <si>
    <t>Model water kinematic viscosity (16.8 °C), νm</t>
  </si>
  <si>
    <t>m²/s</t>
  </si>
  <si>
    <t>Vessel length, Ls</t>
  </si>
  <si>
    <t>Scale factor, SF = Ls / Lp,m</t>
  </si>
  <si>
    <t>–</t>
  </si>
  <si>
    <t>Length scales with SF</t>
  </si>
  <si>
    <t>Sea water density, ρs</t>
  </si>
  <si>
    <t>Sea water dynamic viscosity, μs</t>
  </si>
  <si>
    <t>Pa·s</t>
  </si>
  <si>
    <t>Sea water kinematic viscosity, νs = μs / ρs</t>
  </si>
  <si>
    <t>Correlation allowance, cA = 0.35×10⁻³ − 2 Ls×10⁻⁶</t>
  </si>
  <si>
    <t>Bertram Eq. 3.19</t>
  </si>
  <si>
    <t>Model displaced volume, ∇m = Δm / (ρm g)</t>
  </si>
  <si>
    <t>m³</t>
  </si>
  <si>
    <t>Vessel displaced volume, ∇s = SF³ ∇m</t>
  </si>
  <si>
    <t>Volume scales with SF³</t>
  </si>
  <si>
    <t>Vessel displacement, Δs = ρs g ∇s</t>
  </si>
  <si>
    <t>kN</t>
  </si>
  <si>
    <t>Water density, wetted-area runs (19.0 °C), for their Fr</t>
  </si>
  <si>
    <t>Wetted-area runs, LCG 560 mm (water at 19.0 °C): regressions of wetted surface (2nd-order polynomial) and wetted keel length (linear) on Fr</t>
  </si>
  <si>
    <t>Run</t>
  </si>
  <si>
    <t>V (m/s)</t>
  </si>
  <si>
    <t>Fr (Fn∇, 19.0 °C)</t>
  </si>
  <si>
    <t>Fr²</t>
  </si>
  <si>
    <t>Lk (m)</t>
  </si>
  <si>
    <t>Lc (m)</t>
  </si>
  <si>
    <t>Rectangle b·Lc (m²)</t>
  </si>
  <si>
    <t>Triangles ½b(Lk − Lc) (m²)</t>
  </si>
  <si>
    <t>Plan-view area A (m²)</t>
  </si>
  <si>
    <t>Wetted surface S = A / cos β (m²)</t>
  </si>
  <si>
    <t>S(Fr) = a0 + a1 Fr + a2 Fr²</t>
  </si>
  <si>
    <t>a0</t>
  </si>
  <si>
    <t>a1</t>
  </si>
  <si>
    <t>a2</t>
  </si>
  <si>
    <t>R²</t>
  </si>
  <si>
    <t>Lk(Fr) = c0 + c1 Fr</t>
  </si>
  <si>
    <t>c0</t>
  </si>
  <si>
    <t>c1</t>
  </si>
  <si>
    <t>RTm (N)</t>
  </si>
  <si>
    <t>Fr (Fn∇)</t>
  </si>
  <si>
    <t>Sm (m²)</t>
  </si>
  <si>
    <t>Lk,m (m)</t>
  </si>
  <si>
    <t>Rn,m (keel length)</t>
  </si>
  <si>
    <t>cTm (Eq. 5.5)</t>
  </si>
  <si>
    <t>cFm (Eq. 5.6)</t>
  </si>
  <si>
    <t>cR (Eq. 5.8)</t>
  </si>
  <si>
    <t>Vs (m/s)</t>
  </si>
  <si>
    <t>Vs (knots)</t>
  </si>
  <si>
    <t>Lk,s (m)</t>
  </si>
  <si>
    <t>Ss (m²)</t>
  </si>
  <si>
    <t>Rn,s (keel length)</t>
  </si>
  <si>
    <t>cFs (Eq. 5.6)</t>
  </si>
  <si>
    <t>cTs (Eq. 5.9)</t>
  </si>
  <si>
    <t>RTs = thrust (kN) (Eq. 5.10)</t>
  </si>
  <si>
    <t>ITTC 1957 method (Bertram, Practical Ship Hydrodynamics, Section 3.2.3): 50 m vessel from the LCG 560 mm model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</si>
</sst>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E+00"/>
    <numFmt numFmtId="165" formatCode="0.000"/>
    <numFmt numFmtId="166" formatCode="0.00000E+00"/>
    <numFmt numFmtId="167" formatCode="0.00000"/>
    <numFmt numFmtId="168" formatCode="0.000000"/>
    <numFmt numFmtId="169" formatCode="0.0"/>
    <numFmt numFmtId="170" formatCode="0.0000"/>
    <numFmt numFmtId="171" formatCode="0.000E+0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1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 wrapText="1"/>
    </xf>
    <xf numFmtId="170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171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50 m vessel: total resistance coefficient against Fr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'ITTC 1957 50 m vessel'!$D$2:$D$14</c:f>
              <c:numCache>
                <c:formatCode>0.00</c:formatCode>
                <c:ptCount val="13"/>
                <c:pt idx="0">
                  <c:v>0.22726469559908849</c:v>
                </c:pt>
                <c:pt idx="1">
                  <c:v>0.52712375870128525</c:v>
                </c:pt>
                <c:pt idx="2">
                  <c:v>0.82843734703302774</c:v>
                </c:pt>
                <c:pt idx="3">
                  <c:v>1.1291071193145228</c:v>
                </c:pt>
                <c:pt idx="4">
                  <c:v>1.4301537876260837</c:v>
                </c:pt>
                <c:pt idx="5">
                  <c:v>1.7281446543237122</c:v>
                </c:pt>
                <c:pt idx="6">
                  <c:v>2.0299793632271994</c:v>
                </c:pt>
                <c:pt idx="7">
                  <c:v>2.3308717173151603</c:v>
                </c:pt>
                <c:pt idx="8">
                  <c:v>2.6295422059484204</c:v>
                </c:pt>
                <c:pt idx="9">
                  <c:v>2.9280022946398363</c:v>
                </c:pt>
                <c:pt idx="10">
                  <c:v>3.2292352268122824</c:v>
                </c:pt>
                <c:pt idx="11">
                  <c:v>3.5300245627441185</c:v>
                </c:pt>
                <c:pt idx="12">
                  <c:v>3.8284574318327915</c:v>
                </c:pt>
              </c:numCache>
            </c:numRef>
          </c:xVal>
          <c:yVal>
            <c:numRef>
              <c:f>'ITTC 1957 50 m vessel'!$Q$2:$Q$14</c:f>
              <c:numCache>
                <c:formatCode>0.00000</c:formatCode>
                <c:ptCount val="13"/>
                <c:pt idx="0">
                  <c:v>9.2795779882952675E-3</c:v>
                </c:pt>
                <c:pt idx="1">
                  <c:v>1.5089018644457133E-2</c:v>
                </c:pt>
                <c:pt idx="2">
                  <c:v>2.0671742012228288E-2</c:v>
                </c:pt>
                <c:pt idx="3">
                  <c:v>2.4317391011395822E-2</c:v>
                </c:pt>
                <c:pt idx="4">
                  <c:v>2.0074278071185583E-2</c:v>
                </c:pt>
                <c:pt idx="5">
                  <c:v>1.6256979848924262E-2</c:v>
                </c:pt>
                <c:pt idx="6">
                  <c:v>1.41832394134098E-2</c:v>
                </c:pt>
                <c:pt idx="7">
                  <c:v>1.1988024963451168E-2</c:v>
                </c:pt>
                <c:pt idx="8">
                  <c:v>1.0004921217384772E-2</c:v>
                </c:pt>
                <c:pt idx="9">
                  <c:v>8.5543135678920728E-3</c:v>
                </c:pt>
                <c:pt idx="10">
                  <c:v>7.3684479034229608E-3</c:v>
                </c:pt>
                <c:pt idx="11">
                  <c:v>6.4732564219862612E-3</c:v>
                </c:pt>
                <c:pt idx="12">
                  <c:v>5.6645131788623697E-3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80-4687-8C5C-A2A572A33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28816"/>
        <c:axId val="4555458"/>
      </c:scatterChart>
      <c:valAx>
        <c:axId val="6622881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Fr (Fn∇)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55458"/>
        <c:crosses val="autoZero"/>
        <c:crossBetween val="midCat"/>
      </c:valAx>
      <c:valAx>
        <c:axId val="45554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22881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50 m vessel: required thrust against 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'ITTC 1957 50 m vessel'!$L$2:$L$14</c:f>
              <c:numCache>
                <c:formatCode>0.0</c:formatCode>
                <c:ptCount val="13"/>
                <c:pt idx="0">
                  <c:v>4.2374054053930994</c:v>
                </c:pt>
                <c:pt idx="1">
                  <c:v>9.8283504111533997</c:v>
                </c:pt>
                <c:pt idx="2">
                  <c:v>15.446415392824216</c:v>
                </c:pt>
                <c:pt idx="3">
                  <c:v>21.052476267987398</c:v>
                </c:pt>
                <c:pt idx="4">
                  <c:v>26.665564461101834</c:v>
                </c:pt>
                <c:pt idx="5">
                  <c:v>32.221676491497504</c:v>
                </c:pt>
                <c:pt idx="6">
                  <c:v>37.849457892701729</c:v>
                </c:pt>
                <c:pt idx="7">
                  <c:v>43.459668859665896</c:v>
                </c:pt>
                <c:pt idx="8">
                  <c:v>49.028452605992101</c:v>
                </c:pt>
                <c:pt idx="9">
                  <c:v>54.593313394339638</c:v>
                </c:pt>
                <c:pt idx="10">
                  <c:v>60.209874522345551</c:v>
                </c:pt>
                <c:pt idx="11">
                  <c:v>65.818164690786816</c:v>
                </c:pt>
                <c:pt idx="12">
                  <c:v>71.38251796303517</c:v>
                </c:pt>
              </c:numCache>
            </c:numRef>
          </c:xVal>
          <c:yVal>
            <c:numRef>
              <c:f>'ITTC 1957 50 m vessel'!$R$2:$R$14</c:f>
              <c:numCache>
                <c:formatCode>0.0</c:formatCode>
                <c:ptCount val="13"/>
                <c:pt idx="0">
                  <c:v>18.643099488009696</c:v>
                </c:pt>
                <c:pt idx="1">
                  <c:v>148.49875299305279</c:v>
                </c:pt>
                <c:pt idx="2">
                  <c:v>456.79371203697559</c:v>
                </c:pt>
                <c:pt idx="3">
                  <c:v>907.02614845476535</c:v>
                </c:pt>
                <c:pt idx="4">
                  <c:v>1091.6442361081808</c:v>
                </c:pt>
                <c:pt idx="5">
                  <c:v>1175.6686479767791</c:v>
                </c:pt>
                <c:pt idx="6">
                  <c:v>1290.8632837425714</c:v>
                </c:pt>
                <c:pt idx="7">
                  <c:v>1318.157996251035</c:v>
                </c:pt>
                <c:pt idx="8">
                  <c:v>1291.988788845661</c:v>
                </c:pt>
                <c:pt idx="9">
                  <c:v>1274.9302313996745</c:v>
                </c:pt>
                <c:pt idx="10">
                  <c:v>1256.6240417892566</c:v>
                </c:pt>
                <c:pt idx="11">
                  <c:v>1258.3415958540309</c:v>
                </c:pt>
                <c:pt idx="12">
                  <c:v>1255.5234649391289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BF-42CC-950C-3F7B07D1E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47083"/>
        <c:axId val="21827376"/>
      </c:scatterChart>
      <c:valAx>
        <c:axId val="2544708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Speed (knots)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827376"/>
        <c:crosses val="autoZero"/>
        <c:crossBetween val="midCat"/>
      </c:valAx>
      <c:valAx>
        <c:axId val="218273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Thrust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4708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242047</xdr:colOff>
      <xdr:row>17</xdr:row>
      <xdr:rowOff>170067</xdr:rowOff>
    </xdr:from>
    <xdr:to>
      <xdr:col>7</xdr:col>
      <xdr:colOff>629407</xdr:colOff>
      <xdr:row>33</xdr:row>
      <xdr:rowOff>75126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609599</xdr:colOff>
      <xdr:row>17</xdr:row>
      <xdr:rowOff>89387</xdr:rowOff>
    </xdr:from>
    <xdr:to>
      <xdr:col>16</xdr:col>
      <xdr:colOff>243924</xdr:colOff>
      <xdr:row>32</xdr:row>
      <xdr:rowOff>173740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zoomScaleNormal="100" workbookViewId="0">
      <selection activeCell="I19" sqref="I19"/>
    </sheetView>
  </sheetViews>
  <sheetFormatPr defaultColWidth="8.6640625" defaultRowHeight="14.4" x14ac:dyDescent="0.3"/>
  <cols>
    <col min="1" max="1" width="52" customWidth="1"/>
    <col min="2" max="2" width="14" customWidth="1"/>
    <col min="3" max="3" width="8" customWidth="1"/>
    <col min="4" max="4" width="30" customWidth="1"/>
  </cols>
  <sheetData>
    <row r="1" spans="1:4" ht="40.799999999999997" customHeight="1" x14ac:dyDescent="0.3">
      <c r="A1" s="1" t="s">
        <v>70</v>
      </c>
    </row>
    <row r="3" spans="1:4" ht="15" customHeight="1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ht="15" customHeight="1" x14ac:dyDescent="0.3">
      <c r="A4" s="3" t="s">
        <v>4</v>
      </c>
      <c r="B4" s="4">
        <v>0.4</v>
      </c>
      <c r="C4" s="4" t="s">
        <v>5</v>
      </c>
      <c r="D4" s="3"/>
    </row>
    <row r="5" spans="1:4" ht="15" customHeight="1" x14ac:dyDescent="0.3">
      <c r="A5" s="3" t="s">
        <v>6</v>
      </c>
      <c r="B5" s="4">
        <v>18</v>
      </c>
      <c r="C5" s="4" t="s">
        <v>7</v>
      </c>
      <c r="D5" s="3"/>
    </row>
    <row r="6" spans="1:4" ht="15" customHeight="1" x14ac:dyDescent="0.3">
      <c r="A6" s="3" t="s">
        <v>8</v>
      </c>
      <c r="B6" s="4">
        <v>1.6</v>
      </c>
      <c r="C6" s="4" t="s">
        <v>5</v>
      </c>
      <c r="D6" s="3"/>
    </row>
    <row r="7" spans="1:4" ht="15" customHeight="1" x14ac:dyDescent="0.3">
      <c r="A7" s="3" t="s">
        <v>9</v>
      </c>
      <c r="B7" s="4">
        <v>264.87</v>
      </c>
      <c r="C7" s="4" t="s">
        <v>10</v>
      </c>
      <c r="D7" s="3"/>
    </row>
    <row r="8" spans="1:4" ht="15" customHeight="1" x14ac:dyDescent="0.3">
      <c r="A8" s="3" t="s">
        <v>11</v>
      </c>
      <c r="B8" s="4">
        <v>9.81</v>
      </c>
      <c r="C8" s="4" t="s">
        <v>12</v>
      </c>
      <c r="D8" s="3"/>
    </row>
    <row r="9" spans="1:4" ht="15" customHeight="1" x14ac:dyDescent="0.3">
      <c r="A9" s="3" t="s">
        <v>13</v>
      </c>
      <c r="B9" s="4">
        <v>998.8125</v>
      </c>
      <c r="C9" s="4" t="s">
        <v>14</v>
      </c>
      <c r="D9" s="3" t="s">
        <v>15</v>
      </c>
    </row>
    <row r="10" spans="1:4" ht="15" customHeight="1" x14ac:dyDescent="0.3">
      <c r="A10" s="3" t="s">
        <v>16</v>
      </c>
      <c r="B10" s="5">
        <v>1.0866999999999999E-6</v>
      </c>
      <c r="C10" s="4" t="s">
        <v>17</v>
      </c>
      <c r="D10" s="3" t="s">
        <v>15</v>
      </c>
    </row>
    <row r="11" spans="1:4" ht="15" customHeight="1" x14ac:dyDescent="0.3">
      <c r="A11" s="3" t="s">
        <v>18</v>
      </c>
      <c r="B11" s="4">
        <v>50</v>
      </c>
      <c r="C11" s="4" t="s">
        <v>5</v>
      </c>
      <c r="D11" s="3"/>
    </row>
    <row r="12" spans="1:4" ht="15" customHeight="1" x14ac:dyDescent="0.3">
      <c r="A12" s="3" t="s">
        <v>19</v>
      </c>
      <c r="B12" s="6">
        <f>B11/B6</f>
        <v>31.25</v>
      </c>
      <c r="C12" s="4" t="s">
        <v>20</v>
      </c>
      <c r="D12" s="3" t="s">
        <v>21</v>
      </c>
    </row>
    <row r="13" spans="1:4" ht="15" customHeight="1" x14ac:dyDescent="0.3">
      <c r="A13" s="3" t="s">
        <v>22</v>
      </c>
      <c r="B13" s="4">
        <v>1026</v>
      </c>
      <c r="C13" s="4" t="s">
        <v>14</v>
      </c>
      <c r="D13" s="3"/>
    </row>
    <row r="14" spans="1:4" ht="15" customHeight="1" x14ac:dyDescent="0.3">
      <c r="A14" s="3" t="s">
        <v>23</v>
      </c>
      <c r="B14" s="7">
        <v>1.2199999999999999E-3</v>
      </c>
      <c r="C14" s="4" t="s">
        <v>24</v>
      </c>
      <c r="D14" s="3"/>
    </row>
    <row r="15" spans="1:4" ht="15" customHeight="1" x14ac:dyDescent="0.3">
      <c r="A15" s="3" t="s">
        <v>25</v>
      </c>
      <c r="B15" s="8">
        <f>B14/B13</f>
        <v>1.1890838206627681E-6</v>
      </c>
      <c r="C15" s="4" t="s">
        <v>17</v>
      </c>
      <c r="D15" s="3"/>
    </row>
    <row r="16" spans="1:4" ht="15" customHeight="1" x14ac:dyDescent="0.3">
      <c r="A16" s="3" t="s">
        <v>26</v>
      </c>
      <c r="B16" s="9">
        <f>0.00035-2*B11*0.000001</f>
        <v>2.5000000000000001E-4</v>
      </c>
      <c r="C16" s="4" t="s">
        <v>20</v>
      </c>
      <c r="D16" s="3" t="s">
        <v>27</v>
      </c>
    </row>
    <row r="17" spans="1:4" ht="15" customHeight="1" x14ac:dyDescent="0.3">
      <c r="A17" s="3" t="s">
        <v>28</v>
      </c>
      <c r="B17" s="10">
        <f>B7/(B9*B8)</f>
        <v>2.7032100619485636E-2</v>
      </c>
      <c r="C17" s="4" t="s">
        <v>29</v>
      </c>
      <c r="D17" s="3"/>
    </row>
    <row r="18" spans="1:4" ht="15" customHeight="1" x14ac:dyDescent="0.3">
      <c r="A18" s="3" t="s">
        <v>30</v>
      </c>
      <c r="B18" s="11">
        <f>B17*B12^3</f>
        <v>824.95424253801377</v>
      </c>
      <c r="C18" s="4" t="s">
        <v>29</v>
      </c>
      <c r="D18" s="3" t="s">
        <v>31</v>
      </c>
    </row>
    <row r="19" spans="1:4" ht="15" customHeight="1" x14ac:dyDescent="0.3">
      <c r="A19" s="3" t="s">
        <v>32</v>
      </c>
      <c r="B19" s="11">
        <f>B13*B8*B18/1000</f>
        <v>8303.2139483996616</v>
      </c>
      <c r="C19" s="4" t="s">
        <v>33</v>
      </c>
      <c r="D19" s="3"/>
    </row>
    <row r="22" spans="1:4" x14ac:dyDescent="0.3">
      <c r="A22" s="3" t="s">
        <v>34</v>
      </c>
      <c r="B22" s="4">
        <v>998.40830000000005</v>
      </c>
      <c r="C22" s="4" t="s">
        <v>14</v>
      </c>
      <c r="D22" s="3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zoomScaleNormal="100" workbookViewId="0">
      <selection activeCell="J15" sqref="J15"/>
    </sheetView>
  </sheetViews>
  <sheetFormatPr defaultColWidth="8.6640625" defaultRowHeight="14.4" x14ac:dyDescent="0.3"/>
  <cols>
    <col min="1" max="1" width="34" customWidth="1"/>
    <col min="2" max="4" width="10" customWidth="1"/>
    <col min="5" max="6" width="9" customWidth="1"/>
    <col min="7" max="10" width="13" customWidth="1"/>
  </cols>
  <sheetData>
    <row r="1" spans="1:10" ht="83.4" customHeight="1" x14ac:dyDescent="0.3">
      <c r="A1" s="1" t="s">
        <v>35</v>
      </c>
    </row>
    <row r="3" spans="1:10" ht="23.25" customHeight="1" x14ac:dyDescent="0.3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</row>
    <row r="4" spans="1:10" ht="15" customHeight="1" x14ac:dyDescent="0.3">
      <c r="A4" s="4">
        <v>1</v>
      </c>
      <c r="B4" s="12">
        <v>2.0409197333653801</v>
      </c>
      <c r="C4" s="12">
        <f>B4/SQRT(Inputs!$B$8*(Inputs!$B$7/(Inputs!$B$22*Inputs!$B$8))^(1/3))</f>
        <v>1.1893659222078996</v>
      </c>
      <c r="D4" s="12">
        <f>C4^2</f>
        <v>1.4145912969094474</v>
      </c>
      <c r="E4" s="6">
        <v>1.585</v>
      </c>
      <c r="F4" s="6">
        <v>1.365</v>
      </c>
      <c r="G4" s="12">
        <f>Inputs!$B$4*F4</f>
        <v>0.54600000000000004</v>
      </c>
      <c r="H4" s="12">
        <f>0.5*Inputs!$B$4*(E4-F4)</f>
        <v>4.3999999999999997E-2</v>
      </c>
      <c r="I4" s="12">
        <f>G4+H4</f>
        <v>0.59000000000000008</v>
      </c>
      <c r="J4" s="12">
        <f>I4/COS(RADIANS(Inputs!$B$5))</f>
        <v>0.62036271230057771</v>
      </c>
    </row>
    <row r="5" spans="1:10" ht="15" customHeight="1" x14ac:dyDescent="0.3">
      <c r="A5" s="4">
        <v>2</v>
      </c>
      <c r="B5" s="12">
        <v>3.0688433836301199</v>
      </c>
      <c r="C5" s="12">
        <f>B5/SQRT(Inputs!$B$8*(Inputs!$B$7/(Inputs!$B$22*Inputs!$B$8))^(1/3))</f>
        <v>1.7883984761439919</v>
      </c>
      <c r="D5" s="12">
        <f>C5^2</f>
        <v>3.1983691094741524</v>
      </c>
      <c r="E5" s="6">
        <v>1.42</v>
      </c>
      <c r="F5" s="6">
        <v>1.0649999999999999</v>
      </c>
      <c r="G5" s="12">
        <f>Inputs!$B$4*F5</f>
        <v>0.42599999999999999</v>
      </c>
      <c r="H5" s="12">
        <f>0.5*Inputs!$B$4*(E5-F5)</f>
        <v>7.0999999999999994E-2</v>
      </c>
      <c r="I5" s="12">
        <f>G5+H5</f>
        <v>0.497</v>
      </c>
      <c r="J5" s="12">
        <f>I5/COS(RADIANS(Inputs!$B$5))</f>
        <v>0.52257672544641887</v>
      </c>
    </row>
    <row r="6" spans="1:10" ht="15" customHeight="1" x14ac:dyDescent="0.3">
      <c r="A6" s="4">
        <v>3</v>
      </c>
      <c r="B6" s="12">
        <v>4.1041320298512796</v>
      </c>
      <c r="C6" s="12">
        <f>B6/SQRT(Inputs!$B$8*(Inputs!$B$7/(Inputs!$B$22*Inputs!$B$8))^(1/3))</f>
        <v>2.3917230534578588</v>
      </c>
      <c r="D6" s="12">
        <f>C6^2</f>
        <v>5.7203391644417838</v>
      </c>
      <c r="E6" s="6">
        <v>1.175</v>
      </c>
      <c r="F6" s="6">
        <v>0.84499999999999997</v>
      </c>
      <c r="G6" s="12">
        <f>Inputs!$B$4*F6</f>
        <v>0.33800000000000002</v>
      </c>
      <c r="H6" s="12">
        <f>0.5*Inputs!$B$4*(E6-F6)</f>
        <v>6.6000000000000017E-2</v>
      </c>
      <c r="I6" s="12">
        <f>G6+H6</f>
        <v>0.40400000000000003</v>
      </c>
      <c r="J6" s="12">
        <f>I6/COS(RADIANS(Inputs!$B$5))</f>
        <v>0.42479073859226002</v>
      </c>
    </row>
    <row r="7" spans="1:10" ht="15" customHeight="1" x14ac:dyDescent="0.3">
      <c r="A7" s="4">
        <v>4</v>
      </c>
      <c r="B7" s="12">
        <v>5.1322832001580103</v>
      </c>
      <c r="C7" s="12">
        <f>B7/SQRT(Inputs!$B$8*(Inputs!$B$7/(Inputs!$B$22*Inputs!$B$8))^(1/3))</f>
        <v>2.9908881969221621</v>
      </c>
      <c r="D7" s="12">
        <f>C7^2</f>
        <v>8.9454122064883013</v>
      </c>
      <c r="E7" s="6">
        <v>1.05</v>
      </c>
      <c r="F7" s="6">
        <v>0.73</v>
      </c>
      <c r="G7" s="12">
        <f>Inputs!$B$4*F7</f>
        <v>0.29199999999999998</v>
      </c>
      <c r="H7" s="12">
        <f>0.5*Inputs!$B$4*(E7-F7)</f>
        <v>6.4000000000000015E-2</v>
      </c>
      <c r="I7" s="12">
        <f>G7+H7</f>
        <v>0.35599999999999998</v>
      </c>
      <c r="J7" s="12">
        <f>I7/COS(RADIANS(Inputs!$B$5))</f>
        <v>0.37432055182882312</v>
      </c>
    </row>
    <row r="9" spans="1:10" ht="15" customHeight="1" x14ac:dyDescent="0.3">
      <c r="A9" s="1" t="s">
        <v>46</v>
      </c>
    </row>
    <row r="10" spans="1:10" ht="15" customHeight="1" x14ac:dyDescent="0.3">
      <c r="A10" s="3" t="s">
        <v>47</v>
      </c>
      <c r="B10" s="10">
        <f>INDEX(LINEST($J$4:$J$7,$C$4:$D$7),1,3)</f>
        <v>0.90504946036020451</v>
      </c>
    </row>
    <row r="11" spans="1:10" ht="15" customHeight="1" x14ac:dyDescent="0.3">
      <c r="A11" s="3" t="s">
        <v>48</v>
      </c>
      <c r="B11" s="10">
        <f>INDEX(LINEST($J$4:$J$7,$C$4:$D$7),1,2)</f>
        <v>-0.27648906094303555</v>
      </c>
    </row>
    <row r="12" spans="1:10" ht="15" customHeight="1" x14ac:dyDescent="0.3">
      <c r="A12" s="3" t="s">
        <v>49</v>
      </c>
      <c r="B12" s="10">
        <f>INDEX(LINEST($J$4:$J$7,$C$4:$D$7),1,1)</f>
        <v>3.2855167206842784E-2</v>
      </c>
    </row>
    <row r="13" spans="1:10" ht="15" customHeight="1" x14ac:dyDescent="0.3">
      <c r="A13" s="3" t="s">
        <v>50</v>
      </c>
      <c r="B13" s="12">
        <f>INDEX(LINEST($J$4:$J$7,$C$4:$D$7,TRUE(),TRUE()),3,1)</f>
        <v>0.9970117780105241</v>
      </c>
    </row>
    <row r="15" spans="1:10" ht="15" customHeight="1" x14ac:dyDescent="0.3">
      <c r="A15" s="1" t="s">
        <v>51</v>
      </c>
    </row>
    <row r="16" spans="1:10" ht="15" customHeight="1" x14ac:dyDescent="0.3">
      <c r="A16" s="3" t="s">
        <v>52</v>
      </c>
      <c r="B16" s="10">
        <f>INTERCEPT($E$4:$E$7,$C$4:$C$7)</f>
        <v>1.9511942064111869</v>
      </c>
    </row>
    <row r="17" spans="1:2" ht="15" customHeight="1" x14ac:dyDescent="0.3">
      <c r="A17" s="3" t="s">
        <v>53</v>
      </c>
      <c r="B17" s="10">
        <f>SLOPE($E$4:$E$7,$C$4:$C$7)</f>
        <v>-0.30797382005619406</v>
      </c>
    </row>
    <row r="18" spans="1:2" ht="15" customHeight="1" x14ac:dyDescent="0.3">
      <c r="A18" s="3" t="s">
        <v>50</v>
      </c>
      <c r="B18" s="12">
        <f>RSQ($E$4:$E$7,$C$4:$C$7)</f>
        <v>0.98646245199916383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tabSelected="1" zoomScale="85" zoomScaleNormal="85" workbookViewId="0">
      <pane xSplit="1" ySplit="1" topLeftCell="B7" activePane="bottomRight" state="frozen"/>
      <selection pane="topRight" activeCell="B1" sqref="B1"/>
      <selection pane="bottomLeft" activeCell="A4" sqref="A4"/>
      <selection pane="bottomRight" activeCell="T20" sqref="T20"/>
    </sheetView>
  </sheetViews>
  <sheetFormatPr defaultColWidth="8.6640625" defaultRowHeight="14.4" x14ac:dyDescent="0.3"/>
  <cols>
    <col min="1" max="19" width="11" customWidth="1"/>
  </cols>
  <sheetData>
    <row r="1" spans="1:18" ht="54.6" customHeight="1" x14ac:dyDescent="0.3">
      <c r="A1" s="2" t="s">
        <v>36</v>
      </c>
      <c r="B1" s="2" t="s">
        <v>37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</row>
    <row r="2" spans="1:18" ht="15" customHeight="1" x14ac:dyDescent="0.3">
      <c r="A2" s="4">
        <v>1</v>
      </c>
      <c r="B2" s="12">
        <v>0.38995375960071899</v>
      </c>
      <c r="C2" s="6">
        <v>0.77439163523884502</v>
      </c>
      <c r="D2" s="13">
        <f>B2/SQRT(Inputs!$B$8*(Inputs!$B$7/(Inputs!$B$9*Inputs!$B$8))^(1/3))</f>
        <v>0.22726469559908849</v>
      </c>
      <c r="E2" s="12">
        <f>'Wetted area regression'!$B$10+'Wetted area regression'!$B$11*D2+'Wetted area regression'!$B$12*D2^2</f>
        <v>0.84391020256611338</v>
      </c>
      <c r="F2" s="6">
        <f>'Wetted area regression'!$B$16+'Wetted area regression'!$B$17*D2</f>
        <v>1.8812026299436275</v>
      </c>
      <c r="G2" s="14">
        <f>B2*F2/Inputs!$B$10</f>
        <v>675054.78799786302</v>
      </c>
      <c r="H2" s="9">
        <f>C2/(0.5*Inputs!$B$9*B2^2*E2)</f>
        <v>1.2083262742973701E-2</v>
      </c>
      <c r="I2" s="9">
        <f t="shared" ref="I2:I14" si="0">0.075/(LOG10(G2)-2)^2</f>
        <v>5.1146230168175599E-3</v>
      </c>
      <c r="J2" s="9">
        <f t="shared" ref="J2:J14" si="1">H2-I2</f>
        <v>6.9686397261561409E-3</v>
      </c>
      <c r="K2" s="13">
        <f>B2*SQRT(Inputs!$B$12)</f>
        <v>2.1799077863720475</v>
      </c>
      <c r="L2" s="11">
        <f t="shared" ref="L2:L14" si="2">K2/0.514444</f>
        <v>4.2374054053930994</v>
      </c>
      <c r="M2" s="13">
        <f>F2*Inputs!$B$12</f>
        <v>58.787582185738358</v>
      </c>
      <c r="N2" s="11">
        <f>E2*Inputs!$B$12^2</f>
        <v>824.13105719347004</v>
      </c>
      <c r="O2" s="14">
        <f>K2*M2/Inputs!$B$15</f>
        <v>107773317.50864208</v>
      </c>
      <c r="P2" s="9">
        <f t="shared" ref="P2:P14" si="3">0.075/(LOG10(O2)-2)^2</f>
        <v>2.0609382621391264E-3</v>
      </c>
      <c r="Q2" s="9">
        <f>J2+P2+Inputs!$B$16</f>
        <v>9.2795779882952675E-3</v>
      </c>
      <c r="R2" s="11">
        <f>Q2*0.5*Inputs!$B$13*K2^2*N2/1000</f>
        <v>18.643099488009696</v>
      </c>
    </row>
    <row r="3" spans="1:18" ht="15" customHeight="1" x14ac:dyDescent="0.3">
      <c r="A3" s="4">
        <v>2</v>
      </c>
      <c r="B3" s="12">
        <v>0.90446908587614705</v>
      </c>
      <c r="C3" s="6">
        <v>5.4316101439793902</v>
      </c>
      <c r="D3" s="13">
        <f>B3/SQRT(Inputs!$B$8*(Inputs!$B$7/(Inputs!$B$9*Inputs!$B$8))^(1/3))</f>
        <v>0.52712375870128525</v>
      </c>
      <c r="E3" s="12">
        <f>'Wetted area regression'!$B$10+'Wetted area regression'!$B$11*D3+'Wetted area regression'!$B$12*D3^2</f>
        <v>0.76843462623544545</v>
      </c>
      <c r="F3" s="6">
        <f>'Wetted area regression'!$B$16+'Wetted area regression'!$B$17*D3</f>
        <v>1.7888538888015726</v>
      </c>
      <c r="G3" s="14">
        <f>B3*F3/Inputs!$B$10</f>
        <v>1488877.3733048213</v>
      </c>
      <c r="H3" s="9">
        <f>C3/(0.5*Inputs!$B$9*B3^2*E3)</f>
        <v>1.7301359732784859E-2</v>
      </c>
      <c r="I3" s="9">
        <f t="shared" si="0"/>
        <v>4.3071882900231609E-3</v>
      </c>
      <c r="J3" s="9">
        <f t="shared" si="1"/>
        <v>1.2994171442761698E-2</v>
      </c>
      <c r="K3" s="13">
        <f>B3*SQRT(Inputs!$B$12)</f>
        <v>5.0561358989153993</v>
      </c>
      <c r="L3" s="11">
        <f t="shared" si="2"/>
        <v>9.8283504111533997</v>
      </c>
      <c r="M3" s="13">
        <f>F3*Inputs!$B$12</f>
        <v>55.901684025049143</v>
      </c>
      <c r="N3" s="11">
        <f>E3*Inputs!$B$12^2</f>
        <v>750.42443968305224</v>
      </c>
      <c r="O3" s="14">
        <f>K3*M3/Inputs!$B$15</f>
        <v>237701082.54549772</v>
      </c>
      <c r="P3" s="9">
        <f t="shared" si="3"/>
        <v>1.8448472016954357E-3</v>
      </c>
      <c r="Q3" s="9">
        <f>J3+P3+Inputs!$B$16</f>
        <v>1.5089018644457133E-2</v>
      </c>
      <c r="R3" s="11">
        <f>Q3*0.5*Inputs!$B$13*K3^2*N3/1000</f>
        <v>148.49875299305279</v>
      </c>
    </row>
    <row r="4" spans="1:18" ht="15" customHeight="1" x14ac:dyDescent="0.3">
      <c r="A4" s="4">
        <v>3</v>
      </c>
      <c r="B4" s="12">
        <v>1.4214801697095201</v>
      </c>
      <c r="C4" s="6">
        <v>15.961755922190299</v>
      </c>
      <c r="D4" s="13">
        <f>B4/SQRT(Inputs!$B$8*(Inputs!$B$7/(Inputs!$B$9*Inputs!$B$8))^(1/3))</f>
        <v>0.82843734703302774</v>
      </c>
      <c r="E4" s="12">
        <f>'Wetted area regression'!$B$10+'Wetted area regression'!$B$11*D4+'Wetted area regression'!$B$12*D4^2</f>
        <v>0.69854437471351705</v>
      </c>
      <c r="F4" s="6">
        <f>'Wetted area regression'!$B$16+'Wetted area regression'!$B$17*D4</f>
        <v>1.6960571919682064</v>
      </c>
      <c r="G4" s="14">
        <f>B4*F4/Inputs!$B$10</f>
        <v>2218562.3125757044</v>
      </c>
      <c r="H4" s="9">
        <f>C4/(0.5*Inputs!$B$9*B4^2*E4)</f>
        <v>2.2643892359579029E-2</v>
      </c>
      <c r="I4" s="9">
        <f t="shared" si="0"/>
        <v>3.9707039086019644E-3</v>
      </c>
      <c r="J4" s="9">
        <f t="shared" si="1"/>
        <v>1.8673188450977065E-2</v>
      </c>
      <c r="K4" s="13">
        <f>B4*SQRT(Inputs!$B$12)</f>
        <v>7.9463157203460613</v>
      </c>
      <c r="L4" s="11">
        <f t="shared" si="2"/>
        <v>15.446415392824216</v>
      </c>
      <c r="M4" s="13">
        <f>F4*Inputs!$B$12</f>
        <v>53.001787249006448</v>
      </c>
      <c r="N4" s="11">
        <f>E4*Inputs!$B$12^2</f>
        <v>682.17224093116897</v>
      </c>
      <c r="O4" s="14">
        <f>K4*M4/Inputs!$B$15</f>
        <v>354196170.11395162</v>
      </c>
      <c r="P4" s="9">
        <f t="shared" si="3"/>
        <v>1.7485535612512221E-3</v>
      </c>
      <c r="Q4" s="9">
        <f>J4+P4+Inputs!$B$16</f>
        <v>2.0671742012228288E-2</v>
      </c>
      <c r="R4" s="11">
        <f>Q4*0.5*Inputs!$B$13*K4^2*N4/1000</f>
        <v>456.79371203697559</v>
      </c>
    </row>
    <row r="5" spans="1:18" ht="15" customHeight="1" x14ac:dyDescent="0.3">
      <c r="A5" s="4">
        <v>4</v>
      </c>
      <c r="B5" s="12">
        <v>1.93738655715077</v>
      </c>
      <c r="C5" s="6">
        <v>31.118066311589001</v>
      </c>
      <c r="D5" s="13">
        <f>B5/SQRT(Inputs!$B$8*(Inputs!$B$7/(Inputs!$B$9*Inputs!$B$8))^(1/3))</f>
        <v>1.1291071193145228</v>
      </c>
      <c r="E5" s="12">
        <f>'Wetted area regression'!$B$10+'Wetted area regression'!$B$11*D5+'Wetted area regression'!$B$12*D5^2</f>
        <v>0.63475018365464231</v>
      </c>
      <c r="F5" s="6">
        <f>'Wetted area regression'!$B$16+'Wetted area regression'!$B$17*D5</f>
        <v>1.6034587736232484</v>
      </c>
      <c r="G5" s="14">
        <f>B5*F5/Inputs!$B$10</f>
        <v>2858672.561850687</v>
      </c>
      <c r="H5" s="9">
        <f>C5/(0.5*Inputs!$B$9*B5^2*E5)</f>
        <v>2.6153103322139225E-2</v>
      </c>
      <c r="I5" s="9">
        <f t="shared" si="0"/>
        <v>3.776929264347635E-3</v>
      </c>
      <c r="J5" s="9">
        <f t="shared" si="1"/>
        <v>2.237617405779159E-2</v>
      </c>
      <c r="K5" s="13">
        <f>B5*SQRT(Inputs!$B$12)</f>
        <v>10.830320101208509</v>
      </c>
      <c r="L5" s="11">
        <f t="shared" si="2"/>
        <v>21.052476267987398</v>
      </c>
      <c r="M5" s="13">
        <f>F5*Inputs!$B$12</f>
        <v>50.108086675726511</v>
      </c>
      <c r="N5" s="11">
        <f>E5*Inputs!$B$12^2</f>
        <v>619.87322622523664</v>
      </c>
      <c r="O5" s="14">
        <f>K5*M5/Inputs!$B$15</f>
        <v>456390549.53648096</v>
      </c>
      <c r="P5" s="9">
        <f t="shared" si="3"/>
        <v>1.6912169536042309E-3</v>
      </c>
      <c r="Q5" s="9">
        <f>J5+P5+Inputs!$B$16</f>
        <v>2.4317391011395822E-2</v>
      </c>
      <c r="R5" s="11">
        <f>Q5*0.5*Inputs!$B$13*K5^2*N5/1000</f>
        <v>907.02614845476535</v>
      </c>
    </row>
    <row r="6" spans="1:18" ht="15" customHeight="1" x14ac:dyDescent="0.3">
      <c r="A6" s="4">
        <v>5</v>
      </c>
      <c r="B6" s="12">
        <v>2.4539396443511499</v>
      </c>
      <c r="C6" s="6">
        <v>37.853976265878401</v>
      </c>
      <c r="D6" s="13">
        <f>B6/SQRT(Inputs!$B$8*(Inputs!$B$7/(Inputs!$B$9*Inputs!$B$8))^(1/3))</f>
        <v>1.4301537876260837</v>
      </c>
      <c r="E6" s="12">
        <f>'Wetted area regression'!$B$10+'Wetted area regression'!$B$11*D6+'Wetted area regression'!$B$12*D6^2</f>
        <v>0.57682756558762571</v>
      </c>
      <c r="F6" s="6">
        <f>'Wetted area regression'!$B$16+'Wetted area regression'!$B$17*D6</f>
        <v>1.5107442811681471</v>
      </c>
      <c r="G6" s="14">
        <f>B6*F6/Inputs!$B$10</f>
        <v>3411498.3749289559</v>
      </c>
      <c r="H6" s="9">
        <f>C6/(0.5*Inputs!$B$9*B6^2*E6)</f>
        <v>2.182145838098783E-2</v>
      </c>
      <c r="I6" s="9">
        <f t="shared" si="0"/>
        <v>3.6500627594122318E-3</v>
      </c>
      <c r="J6" s="9">
        <f t="shared" si="1"/>
        <v>1.8171395621575596E-2</v>
      </c>
      <c r="K6" s="13">
        <f>B6*SQRT(Inputs!$B$12)</f>
        <v>13.717939643627073</v>
      </c>
      <c r="L6" s="11">
        <f t="shared" si="2"/>
        <v>26.665564461101834</v>
      </c>
      <c r="M6" s="13">
        <f>F6*Inputs!$B$12</f>
        <v>47.210758786504599</v>
      </c>
      <c r="N6" s="11">
        <f>E6*Inputs!$B$12^2</f>
        <v>563.30816951916574</v>
      </c>
      <c r="O6" s="14">
        <f>K6*M6/Inputs!$B$15</f>
        <v>544649862.61618626</v>
      </c>
      <c r="P6" s="9">
        <f t="shared" si="3"/>
        <v>1.6528824496099864E-3</v>
      </c>
      <c r="Q6" s="9">
        <f>J6+P6+Inputs!$B$16</f>
        <v>2.0074278071185583E-2</v>
      </c>
      <c r="R6" s="11">
        <f>Q6*0.5*Inputs!$B$13*K6^2*N6/1000</f>
        <v>1091.6442361081808</v>
      </c>
    </row>
    <row r="7" spans="1:18" ht="15" customHeight="1" x14ac:dyDescent="0.3">
      <c r="A7" s="4">
        <v>6</v>
      </c>
      <c r="B7" s="12">
        <v>2.9652494124130002</v>
      </c>
      <c r="C7" s="6">
        <v>41.394955290335197</v>
      </c>
      <c r="D7" s="13">
        <f>B7/SQRT(Inputs!$B$8*(Inputs!$B$7/(Inputs!$B$9*Inputs!$B$8))^(1/3))</f>
        <v>1.7281446543237122</v>
      </c>
      <c r="E7" s="12">
        <f>'Wetted area regression'!$B$10+'Wetted area regression'!$B$11*D7+'Wetted area regression'!$B$12*D7^2</f>
        <v>0.52535779712768893</v>
      </c>
      <c r="F7" s="6">
        <f>'Wetted area regression'!$B$16+'Wetted area regression'!$B$17*D7</f>
        <v>1.4189708956094222</v>
      </c>
      <c r="G7" s="14">
        <f>B7*F7/Inputs!$B$10</f>
        <v>3871908.1756114736</v>
      </c>
      <c r="H7" s="9">
        <f>C7/(0.5*Inputs!$B$9*B7^2*E7)</f>
        <v>1.7943857240545674E-2</v>
      </c>
      <c r="I7" s="9">
        <f t="shared" si="0"/>
        <v>3.5631051142150766E-3</v>
      </c>
      <c r="J7" s="9">
        <f t="shared" si="1"/>
        <v>1.4380752126330597E-2</v>
      </c>
      <c r="K7" s="13">
        <f>B7*SQRT(Inputs!$B$12)</f>
        <v>16.576248140991943</v>
      </c>
      <c r="L7" s="11">
        <f t="shared" si="2"/>
        <v>32.221676491497504</v>
      </c>
      <c r="M7" s="13">
        <f>F7*Inputs!$B$12</f>
        <v>44.342840487794447</v>
      </c>
      <c r="N7" s="11">
        <f>E7*Inputs!$B$12^2</f>
        <v>513.04472375750868</v>
      </c>
      <c r="O7" s="14">
        <f>K7*M7/Inputs!$B$15</f>
        <v>618154846.97488499</v>
      </c>
      <c r="P7" s="9">
        <f t="shared" si="3"/>
        <v>1.6262277225936636E-3</v>
      </c>
      <c r="Q7" s="9">
        <f>J7+P7+Inputs!$B$16</f>
        <v>1.6256979848924262E-2</v>
      </c>
      <c r="R7" s="11">
        <f>Q7*0.5*Inputs!$B$13*K7^2*N7/1000</f>
        <v>1175.6686479767791</v>
      </c>
    </row>
    <row r="8" spans="1:18" ht="15" customHeight="1" x14ac:dyDescent="0.3">
      <c r="A8" s="4">
        <v>7</v>
      </c>
      <c r="B8" s="12">
        <v>3.4831546647208098</v>
      </c>
      <c r="C8" s="6">
        <v>45.951260880969798</v>
      </c>
      <c r="D8" s="13">
        <f>B8/SQRT(Inputs!$B$8*(Inputs!$B$7/(Inputs!$B$9*Inputs!$B$8))^(1/3))</f>
        <v>2.0299793632271994</v>
      </c>
      <c r="E8" s="12">
        <f>'Wetted area regression'!$B$10+'Wetted area regression'!$B$11*D8+'Wetted area regression'!$B$12*D8^2</f>
        <v>0.47917247826448439</v>
      </c>
      <c r="F8" s="6">
        <f>'Wetted area regression'!$B$16+'Wetted area regression'!$B$17*D8</f>
        <v>1.3260137072828662</v>
      </c>
      <c r="G8" s="14">
        <f>B8*F8/Inputs!$B$10</f>
        <v>4250217.0148210637</v>
      </c>
      <c r="H8" s="9">
        <f>C8/(0.5*Inputs!$B$9*B8^2*E8)</f>
        <v>1.5827272338296318E-2</v>
      </c>
      <c r="I8" s="9">
        <f t="shared" si="0"/>
        <v>3.5010427147405179E-3</v>
      </c>
      <c r="J8" s="9">
        <f t="shared" si="1"/>
        <v>1.23262296235558E-2</v>
      </c>
      <c r="K8" s="13">
        <f>B8*SQRT(Inputs!$B$12)</f>
        <v>19.471426516153048</v>
      </c>
      <c r="L8" s="11">
        <f t="shared" si="2"/>
        <v>37.849457892701729</v>
      </c>
      <c r="M8" s="13">
        <f>F8*Inputs!$B$12</f>
        <v>41.437928352589566</v>
      </c>
      <c r="N8" s="11">
        <f>E8*Inputs!$B$12^2</f>
        <v>467.94187330516053</v>
      </c>
      <c r="O8" s="14">
        <f>K8*M8/Inputs!$B$15</f>
        <v>678552313.03150678</v>
      </c>
      <c r="P8" s="9">
        <f t="shared" si="3"/>
        <v>1.607009789853999E-3</v>
      </c>
      <c r="Q8" s="9">
        <f>J8+P8+Inputs!$B$16</f>
        <v>1.41832394134098E-2</v>
      </c>
      <c r="R8" s="11">
        <f>Q8*0.5*Inputs!$B$13*K8^2*N8/1000</f>
        <v>1290.8632837425714</v>
      </c>
    </row>
    <row r="9" spans="1:18" ht="15" customHeight="1" x14ac:dyDescent="0.3">
      <c r="A9" s="4">
        <v>8</v>
      </c>
      <c r="B9" s="12">
        <v>3.9994429707527202</v>
      </c>
      <c r="C9" s="6">
        <v>47.712061424255403</v>
      </c>
      <c r="D9" s="13">
        <f>B9/SQRT(Inputs!$B$8*(Inputs!$B$7/(Inputs!$B$9*Inputs!$B$8))^(1/3))</f>
        <v>2.3308717173151603</v>
      </c>
      <c r="E9" s="12">
        <f>'Wetted area regression'!$B$10+'Wetted area regression'!$B$11*D9+'Wetted area regression'!$B$12*D9^2</f>
        <v>0.43908983462519602</v>
      </c>
      <c r="F9" s="6">
        <f>'Wetted area regression'!$B$16+'Wetted area regression'!$B$17*D9</f>
        <v>1.2333467395686957</v>
      </c>
      <c r="G9" s="14">
        <f>B9*F9/Inputs!$B$10</f>
        <v>4539155.1928488147</v>
      </c>
      <c r="H9" s="9">
        <f>C9/(0.5*Inputs!$B$9*B9^2*E9)</f>
        <v>1.3602596261630908E-2</v>
      </c>
      <c r="I9" s="9">
        <f t="shared" si="0"/>
        <v>3.4582265801681522E-3</v>
      </c>
      <c r="J9" s="9">
        <f t="shared" si="1"/>
        <v>1.0144369681462755E-2</v>
      </c>
      <c r="K9" s="13">
        <f>B9*SQRT(Inputs!$B$12)</f>
        <v>22.357565886841964</v>
      </c>
      <c r="L9" s="11">
        <f t="shared" si="2"/>
        <v>43.459668859665896</v>
      </c>
      <c r="M9" s="13">
        <f>F9*Inputs!$B$12</f>
        <v>38.542085611521742</v>
      </c>
      <c r="N9" s="11">
        <f>E9*Inputs!$B$12^2</f>
        <v>428.79866662616797</v>
      </c>
      <c r="O9" s="14">
        <f>K9*M9/Inputs!$B$15</f>
        <v>724681644.39038885</v>
      </c>
      <c r="P9" s="9">
        <f t="shared" si="3"/>
        <v>1.5936552819884136E-3</v>
      </c>
      <c r="Q9" s="9">
        <f>J9+P9+Inputs!$B$16</f>
        <v>1.1988024963451168E-2</v>
      </c>
      <c r="R9" s="11">
        <f>Q9*0.5*Inputs!$B$13*K9^2*N9/1000</f>
        <v>1318.157996251035</v>
      </c>
    </row>
    <row r="10" spans="1:18" ht="15" customHeight="1" x14ac:dyDescent="0.3">
      <c r="A10" s="4">
        <v>9</v>
      </c>
      <c r="B10" s="12">
        <v>4.5119188729922</v>
      </c>
      <c r="C10" s="6">
        <v>47.786998078028397</v>
      </c>
      <c r="D10" s="13">
        <f>B10/SQRT(Inputs!$B$8*(Inputs!$B$7/(Inputs!$B$9*Inputs!$B$8))^(1/3))</f>
        <v>2.6295422059484204</v>
      </c>
      <c r="E10" s="12">
        <f>'Wetted area regression'!$B$10+'Wetted area regression'!$B$11*D10+'Wetted area regression'!$B$12*D10^2</f>
        <v>0.40518660293150943</v>
      </c>
      <c r="F10" s="6">
        <f>'Wetted area regression'!$B$16+'Wetted area regression'!$B$17*D10</f>
        <v>1.1413640482462606</v>
      </c>
      <c r="G10" s="14">
        <f>B10*F10/Inputs!$B$10</f>
        <v>4738881.0069357539</v>
      </c>
      <c r="H10" s="9">
        <f>C10/(0.5*Inputs!$B$9*B10^2*E10)</f>
        <v>1.1600538094008904E-2</v>
      </c>
      <c r="I10" s="9">
        <f t="shared" si="0"/>
        <v>3.4306189440438317E-3</v>
      </c>
      <c r="J10" s="9">
        <f t="shared" si="1"/>
        <v>8.1699191499650728E-3</v>
      </c>
      <c r="K10" s="13">
        <f>B10*SQRT(Inputs!$B$12)</f>
        <v>25.222393272436999</v>
      </c>
      <c r="L10" s="11">
        <f t="shared" si="2"/>
        <v>49.028452605992101</v>
      </c>
      <c r="M10" s="13">
        <f>F10*Inputs!$B$12</f>
        <v>35.667626507695644</v>
      </c>
      <c r="N10" s="11">
        <f>E10*Inputs!$B$12^2</f>
        <v>395.69004192530218</v>
      </c>
      <c r="O10" s="14">
        <f>K10*M10/Inputs!$B$15</f>
        <v>756568113.39848948</v>
      </c>
      <c r="P10" s="9">
        <f t="shared" si="3"/>
        <v>1.5850020674196981E-3</v>
      </c>
      <c r="Q10" s="9">
        <f>J10+P10+Inputs!$B$16</f>
        <v>1.0004921217384772E-2</v>
      </c>
      <c r="R10" s="11">
        <f>Q10*0.5*Inputs!$B$13*K10^2*N10/1000</f>
        <v>1291.988788845661</v>
      </c>
    </row>
    <row r="11" spans="1:18" ht="15" customHeight="1" x14ac:dyDescent="0.3">
      <c r="A11" s="4">
        <v>10</v>
      </c>
      <c r="B11" s="12">
        <v>5.0240337589808899</v>
      </c>
      <c r="C11" s="6">
        <v>48.207188404628198</v>
      </c>
      <c r="D11" s="13">
        <f>B11/SQRT(Inputs!$B$8*(Inputs!$B$7/(Inputs!$B$9*Inputs!$B$8))^(1/3))</f>
        <v>2.9280022946398363</v>
      </c>
      <c r="E11" s="12">
        <f>'Wetted area regression'!$B$10+'Wetted area regression'!$B$11*D11+'Wetted area regression'!$B$12*D11^2</f>
        <v>0.3771626907797665</v>
      </c>
      <c r="F11" s="6">
        <f>'Wetted area regression'!$B$16+'Wetted area regression'!$B$17*D11</f>
        <v>1.0494461545976548</v>
      </c>
      <c r="G11" s="14">
        <f>B11*F11/Inputs!$B$10</f>
        <v>4851801.7014183272</v>
      </c>
      <c r="H11" s="9">
        <f>C11/(0.5*Inputs!$B$9*B11^2*E11)</f>
        <v>1.0139674325826437E-2</v>
      </c>
      <c r="I11" s="9">
        <f t="shared" si="0"/>
        <v>3.4156602603806715E-3</v>
      </c>
      <c r="J11" s="9">
        <f t="shared" si="1"/>
        <v>6.7240140654457655E-3</v>
      </c>
      <c r="K11" s="13">
        <f>B11*SQRT(Inputs!$B$12)</f>
        <v>28.085202515837661</v>
      </c>
      <c r="L11" s="11">
        <f t="shared" si="2"/>
        <v>54.593313394339638</v>
      </c>
      <c r="M11" s="13">
        <f>F11*Inputs!$B$12</f>
        <v>32.795192331176715</v>
      </c>
      <c r="N11" s="11">
        <f>E11*Inputs!$B$12^2</f>
        <v>368.3229402146157</v>
      </c>
      <c r="O11" s="14">
        <f>K11*M11/Inputs!$B$15</f>
        <v>774596039.54039729</v>
      </c>
      <c r="P11" s="9">
        <f t="shared" si="3"/>
        <v>1.5802995024463077E-3</v>
      </c>
      <c r="Q11" s="9">
        <f>J11+P11+Inputs!$B$16</f>
        <v>8.5543135678920728E-3</v>
      </c>
      <c r="R11" s="11">
        <f>Q11*0.5*Inputs!$B$13*K11^2*N11/1000</f>
        <v>1274.9302313996745</v>
      </c>
    </row>
    <row r="12" spans="1:18" ht="15" customHeight="1" x14ac:dyDescent="0.3">
      <c r="A12" s="4">
        <v>11</v>
      </c>
      <c r="B12" s="12">
        <v>5.5409064483642601</v>
      </c>
      <c r="C12" s="6">
        <v>48.697959751553</v>
      </c>
      <c r="D12" s="13">
        <f>B12/SQRT(Inputs!$B$8*(Inputs!$B$7/(Inputs!$B$9*Inputs!$B$8))^(1/3))</f>
        <v>3.2292352268122824</v>
      </c>
      <c r="E12" s="12">
        <f>'Wetted area regression'!$B$10+'Wetted area regression'!$B$11*D12+'Wetted area regression'!$B$12*D12^2</f>
        <v>0.35481361929205446</v>
      </c>
      <c r="F12" s="6">
        <f>'Wetted area regression'!$B$16+'Wetted area regression'!$B$17*D12</f>
        <v>0.95667429774977808</v>
      </c>
      <c r="G12" s="14">
        <f>B12*F12/Inputs!$B$10</f>
        <v>4877926.5532217687</v>
      </c>
      <c r="H12" s="9">
        <f>C12/(0.5*Inputs!$B$9*B12^2*E12)</f>
        <v>8.9514806308344363E-3</v>
      </c>
      <c r="I12" s="9">
        <f t="shared" si="0"/>
        <v>3.4122627897933315E-3</v>
      </c>
      <c r="J12" s="9">
        <f t="shared" si="1"/>
        <v>5.5392178410411047E-3</v>
      </c>
      <c r="K12" s="13">
        <f>B12*SQRT(Inputs!$B$12)</f>
        <v>30.974608688773536</v>
      </c>
      <c r="L12" s="11">
        <f t="shared" si="2"/>
        <v>60.209874522345551</v>
      </c>
      <c r="M12" s="13">
        <f>F12*Inputs!$B$12</f>
        <v>29.896071804680567</v>
      </c>
      <c r="N12" s="11">
        <f>E12*Inputs!$B$12^2</f>
        <v>346.49767508989692</v>
      </c>
      <c r="O12" s="14">
        <f>K12*M12/Inputs!$B$15</f>
        <v>778766903.88850331</v>
      </c>
      <c r="P12" s="9">
        <f t="shared" si="3"/>
        <v>1.579230062381856E-3</v>
      </c>
      <c r="Q12" s="9">
        <f>J12+P12+Inputs!$B$16</f>
        <v>7.3684479034229608E-3</v>
      </c>
      <c r="R12" s="11">
        <f>Q12*0.5*Inputs!$B$13*K12^2*N12/1000</f>
        <v>1256.6240417892566</v>
      </c>
    </row>
    <row r="13" spans="1:18" ht="15" customHeight="1" x14ac:dyDescent="0.3">
      <c r="A13" s="4">
        <v>12</v>
      </c>
      <c r="B13" s="12">
        <v>6.0570179899533603</v>
      </c>
      <c r="C13" s="6">
        <v>49.9915238761902</v>
      </c>
      <c r="D13" s="13">
        <f>B13/SQRT(Inputs!$B$8*(Inputs!$B$7/(Inputs!$B$9*Inputs!$B$8))^(1/3))</f>
        <v>3.5300245627441185</v>
      </c>
      <c r="E13" s="12">
        <f>'Wetted area regression'!$B$10+'Wetted area regression'!$B$11*D13+'Wetted area regression'!$B$12*D13^2</f>
        <v>0.33844693448104263</v>
      </c>
      <c r="F13" s="6">
        <f>'Wetted area regression'!$B$16+'Wetted area regression'!$B$17*D13</f>
        <v>0.86403905693068461</v>
      </c>
      <c r="G13" s="14">
        <f>B13*F13/Inputs!$B$10</f>
        <v>4815956.6686771819</v>
      </c>
      <c r="H13" s="9">
        <f>C13/(0.5*Inputs!$B$9*B13^2*E13)</f>
        <v>8.0618384348479649E-3</v>
      </c>
      <c r="I13" s="9">
        <f t="shared" si="0"/>
        <v>3.4203600535979697E-3</v>
      </c>
      <c r="J13" s="9">
        <f t="shared" si="1"/>
        <v>4.6414783812499952E-3</v>
      </c>
      <c r="K13" s="13">
        <f>B13*SQRT(Inputs!$B$12)</f>
        <v>33.85975991618713</v>
      </c>
      <c r="L13" s="11">
        <f t="shared" si="2"/>
        <v>65.818164690786816</v>
      </c>
      <c r="M13" s="13">
        <f>F13*Inputs!$B$12</f>
        <v>27.001220529083895</v>
      </c>
      <c r="N13" s="11">
        <f>E13*Inputs!$B$12^2</f>
        <v>330.51458445414318</v>
      </c>
      <c r="O13" s="14">
        <f>K13*M13/Inputs!$B$15</f>
        <v>768873336.48961711</v>
      </c>
      <c r="P13" s="9">
        <f t="shared" si="3"/>
        <v>1.581778040736266E-3</v>
      </c>
      <c r="Q13" s="9">
        <f>J13+P13+Inputs!$B$16</f>
        <v>6.4732564219862612E-3</v>
      </c>
      <c r="R13" s="11">
        <f>Q13*0.5*Inputs!$B$13*K13^2*N13/1000</f>
        <v>1258.3415958540309</v>
      </c>
    </row>
    <row r="14" spans="1:18" ht="15" customHeight="1" x14ac:dyDescent="0.3">
      <c r="A14" s="4">
        <v>13</v>
      </c>
      <c r="B14" s="12">
        <v>6.5690861709912598</v>
      </c>
      <c r="C14" s="6">
        <v>51.3796092987061</v>
      </c>
      <c r="D14" s="13">
        <f>B14/SQRT(Inputs!$B$8*(Inputs!$B$7/(Inputs!$B$9*Inputs!$B$8))^(1/3))</f>
        <v>3.8284574318327915</v>
      </c>
      <c r="E14" s="12">
        <f>'Wetted area regression'!$B$10+'Wetted area regression'!$B$11*D14+'Wetted area regression'!$B$12*D14^2</f>
        <v>0.32808388156566903</v>
      </c>
      <c r="F14" s="6">
        <f>'Wetted area regression'!$B$16+'Wetted area regression'!$B$17*D14</f>
        <v>0.77212954620711605</v>
      </c>
      <c r="G14" s="14">
        <f>B14*F14/Inputs!$B$10</f>
        <v>4667512.215149465</v>
      </c>
      <c r="H14" s="9">
        <f>C14/(0.5*Inputs!$B$9*B14^2*E14)</f>
        <v>7.2667799991043306E-3</v>
      </c>
      <c r="I14" s="9">
        <f t="shared" si="0"/>
        <v>3.4403103079415887E-3</v>
      </c>
      <c r="J14" s="9">
        <f t="shared" si="1"/>
        <v>3.8264696911627419E-3</v>
      </c>
      <c r="K14" s="13">
        <f>B14*SQRT(Inputs!$B$12)</f>
        <v>36.722308070975664</v>
      </c>
      <c r="L14" s="11">
        <f t="shared" si="2"/>
        <v>71.38251796303517</v>
      </c>
      <c r="M14" s="13">
        <f>F14*Inputs!$B$12</f>
        <v>24.129048318972377</v>
      </c>
      <c r="N14" s="11">
        <f>E14*Inputs!$B$12^2</f>
        <v>320.39441559147366</v>
      </c>
      <c r="O14" s="14">
        <f>K14*M14/Inputs!$B$15</f>
        <v>745173999.03304005</v>
      </c>
      <c r="P14" s="9">
        <f t="shared" si="3"/>
        <v>1.5880434876996278E-3</v>
      </c>
      <c r="Q14" s="9">
        <f>J14+P14+Inputs!$B$16</f>
        <v>5.6645131788623697E-3</v>
      </c>
      <c r="R14" s="11">
        <f>Q14*0.5*Inputs!$B$13*K14^2*N14/1000</f>
        <v>1255.5234649391289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Wetted area regression</vt:lpstr>
      <vt:lpstr>ITTC 1957 50 m vessel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Raji, T, Mr [24086533@sun.ac.za]</cp:lastModifiedBy>
  <cp:revision>4</cp:revision>
  <dcterms:created xsi:type="dcterms:W3CDTF">2026-10-01T12:23:38Z</dcterms:created>
  <dcterms:modified xsi:type="dcterms:W3CDTF">2026-10-15T19:10:46Z</dcterms:modified>
  <dc:language>en-US</dc:language>
</cp:coreProperties>
</file>