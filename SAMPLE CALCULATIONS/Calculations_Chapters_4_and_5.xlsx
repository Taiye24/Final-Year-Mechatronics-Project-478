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aiye Raji\OneDrive - Stellenbosch University\Desktop\STELLENBOSCH UNIVERSITY MODULES\FOURTH YEAR MODULES\MECHATRONIC PROJECT\FINAL REPORT\EXPERIMENTAL DESIGN\INFO\"/>
    </mc:Choice>
  </mc:AlternateContent>
  <xr:revisionPtr revIDLastSave="0" documentId="13_ncr:1_{1ABF9CB3-E639-4606-90F4-8A3486A4DC59}" xr6:coauthVersionLast="47" xr6:coauthVersionMax="47" xr10:uidLastSave="{00000000-0000-0000-0000-000000000000}"/>
  <bookViews>
    <workbookView xWindow="28680" yWindow="-120" windowWidth="20640" windowHeight="11160" tabRatio="500" firstSheet="2" activeTab="5" xr2:uid="{00000000-000D-0000-FFFF-FFFF00000000}"/>
  </bookViews>
  <sheets>
    <sheet name="Inputs" sheetId="1" r:id="rId1"/>
    <sheet name="Table 4.4" sheetId="2" r:id="rId2"/>
    <sheet name="Table F.1" sheetId="3" r:id="rId3"/>
    <sheet name="Wetted area 560" sheetId="4" r:id="rId4"/>
    <sheet name="Ch4 other calcs" sheetId="5" r:id="rId5"/>
    <sheet name="Ch5 comparison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5" i="3" l="1"/>
  <c r="B42" i="6"/>
  <c r="B41" i="6"/>
  <c r="B40" i="6"/>
  <c r="L36" i="6"/>
  <c r="K36" i="6"/>
  <c r="I36" i="6"/>
  <c r="H36" i="6"/>
  <c r="J36" i="6" s="1"/>
  <c r="L35" i="6"/>
  <c r="K35" i="6"/>
  <c r="I35" i="6"/>
  <c r="H35" i="6"/>
  <c r="J35" i="6" s="1"/>
  <c r="L34" i="6"/>
  <c r="K34" i="6"/>
  <c r="J34" i="6"/>
  <c r="I34" i="6"/>
  <c r="H34" i="6"/>
  <c r="L33" i="6"/>
  <c r="K33" i="6"/>
  <c r="J33" i="6"/>
  <c r="I33" i="6"/>
  <c r="H33" i="6"/>
  <c r="L32" i="6"/>
  <c r="K32" i="6"/>
  <c r="J32" i="6"/>
  <c r="I32" i="6"/>
  <c r="H32" i="6"/>
  <c r="L31" i="6"/>
  <c r="K31" i="6"/>
  <c r="J31" i="6"/>
  <c r="I31" i="6"/>
  <c r="H31" i="6"/>
  <c r="L30" i="6"/>
  <c r="K30" i="6"/>
  <c r="I30" i="6"/>
  <c r="H30" i="6"/>
  <c r="J30" i="6" s="1"/>
  <c r="L29" i="6"/>
  <c r="K29" i="6"/>
  <c r="J29" i="6"/>
  <c r="I29" i="6"/>
  <c r="H29" i="6"/>
  <c r="L28" i="6"/>
  <c r="K28" i="6"/>
  <c r="I28" i="6"/>
  <c r="H28" i="6"/>
  <c r="J28" i="6" s="1"/>
  <c r="L27" i="6"/>
  <c r="F42" i="6" s="1"/>
  <c r="K27" i="6"/>
  <c r="E42" i="6" s="1"/>
  <c r="I27" i="6"/>
  <c r="C42" i="6" s="1"/>
  <c r="H27" i="6"/>
  <c r="J27" i="6" s="1"/>
  <c r="L24" i="6"/>
  <c r="K24" i="6"/>
  <c r="J24" i="6"/>
  <c r="I24" i="6"/>
  <c r="H24" i="6"/>
  <c r="L23" i="6"/>
  <c r="K23" i="6"/>
  <c r="J23" i="6"/>
  <c r="I23" i="6"/>
  <c r="H23" i="6"/>
  <c r="L22" i="6"/>
  <c r="K22" i="6"/>
  <c r="J22" i="6"/>
  <c r="I22" i="6"/>
  <c r="H22" i="6"/>
  <c r="L21" i="6"/>
  <c r="K21" i="6"/>
  <c r="J21" i="6"/>
  <c r="I21" i="6"/>
  <c r="H21" i="6"/>
  <c r="L20" i="6"/>
  <c r="K20" i="6"/>
  <c r="I20" i="6"/>
  <c r="H20" i="6"/>
  <c r="J20" i="6" s="1"/>
  <c r="L19" i="6"/>
  <c r="K19" i="6"/>
  <c r="J19" i="6"/>
  <c r="I19" i="6"/>
  <c r="H19" i="6"/>
  <c r="L18" i="6"/>
  <c r="K18" i="6"/>
  <c r="I18" i="6"/>
  <c r="H18" i="6"/>
  <c r="J18" i="6" s="1"/>
  <c r="L17" i="6"/>
  <c r="K17" i="6"/>
  <c r="I17" i="6"/>
  <c r="H17" i="6"/>
  <c r="J17" i="6" s="1"/>
  <c r="L16" i="6"/>
  <c r="K16" i="6"/>
  <c r="J16" i="6"/>
  <c r="I16" i="6"/>
  <c r="H16" i="6"/>
  <c r="L15" i="6"/>
  <c r="F41" i="6" s="1"/>
  <c r="K15" i="6"/>
  <c r="E41" i="6" s="1"/>
  <c r="J15" i="6"/>
  <c r="I15" i="6"/>
  <c r="C41" i="6" s="1"/>
  <c r="H15" i="6"/>
  <c r="L12" i="6"/>
  <c r="K12" i="6"/>
  <c r="J12" i="6"/>
  <c r="I12" i="6"/>
  <c r="H12" i="6"/>
  <c r="L11" i="6"/>
  <c r="K11" i="6"/>
  <c r="J11" i="6"/>
  <c r="I11" i="6"/>
  <c r="H11" i="6"/>
  <c r="L10" i="6"/>
  <c r="K10" i="6"/>
  <c r="I10" i="6"/>
  <c r="H10" i="6"/>
  <c r="J10" i="6" s="1"/>
  <c r="L9" i="6"/>
  <c r="K9" i="6"/>
  <c r="J9" i="6"/>
  <c r="I9" i="6"/>
  <c r="C40" i="6" s="1"/>
  <c r="H9" i="6"/>
  <c r="L8" i="6"/>
  <c r="K8" i="6"/>
  <c r="I8" i="6"/>
  <c r="H8" i="6"/>
  <c r="J8" i="6" s="1"/>
  <c r="L7" i="6"/>
  <c r="K7" i="6"/>
  <c r="E40" i="6" s="1"/>
  <c r="I7" i="6"/>
  <c r="H7" i="6"/>
  <c r="J7" i="6" s="1"/>
  <c r="L6" i="6"/>
  <c r="K6" i="6"/>
  <c r="J6" i="6"/>
  <c r="I6" i="6"/>
  <c r="H6" i="6"/>
  <c r="L5" i="6"/>
  <c r="F40" i="6" s="1"/>
  <c r="K5" i="6"/>
  <c r="J5" i="6"/>
  <c r="I5" i="6"/>
  <c r="H5" i="6"/>
  <c r="P16" i="4"/>
  <c r="O16" i="4"/>
  <c r="N16" i="4"/>
  <c r="G16" i="4"/>
  <c r="H16" i="4" s="1"/>
  <c r="F16" i="4"/>
  <c r="M16" i="4" s="1"/>
  <c r="E16" i="4"/>
  <c r="P15" i="4"/>
  <c r="O15" i="4"/>
  <c r="N15" i="4"/>
  <c r="G15" i="4"/>
  <c r="H15" i="4" s="1"/>
  <c r="E15" i="4"/>
  <c r="F15" i="4" s="1"/>
  <c r="M15" i="4" s="1"/>
  <c r="P14" i="4"/>
  <c r="O14" i="4"/>
  <c r="N14" i="4"/>
  <c r="H14" i="4"/>
  <c r="G14" i="4"/>
  <c r="E14" i="4"/>
  <c r="F14" i="4" s="1"/>
  <c r="M14" i="4" s="1"/>
  <c r="P13" i="4"/>
  <c r="O13" i="4"/>
  <c r="N13" i="4"/>
  <c r="G13" i="4"/>
  <c r="H13" i="4" s="1"/>
  <c r="E13" i="4"/>
  <c r="F13" i="4" s="1"/>
  <c r="M13" i="4" s="1"/>
  <c r="B7" i="4"/>
  <c r="B8" i="4" s="1"/>
  <c r="B9" i="4" s="1"/>
  <c r="U17" i="3"/>
  <c r="R17" i="3"/>
  <c r="S17" i="3" s="1"/>
  <c r="Q17" i="3"/>
  <c r="K17" i="3"/>
  <c r="L17" i="3" s="1"/>
  <c r="M17" i="3" s="1"/>
  <c r="Y17" i="3" s="1"/>
  <c r="J17" i="3"/>
  <c r="W17" i="3" s="1"/>
  <c r="E17" i="3"/>
  <c r="U16" i="3"/>
  <c r="T16" i="3"/>
  <c r="X16" i="3" s="1"/>
  <c r="S16" i="3"/>
  <c r="R16" i="3"/>
  <c r="Q16" i="3"/>
  <c r="K16" i="3"/>
  <c r="L16" i="3" s="1"/>
  <c r="M16" i="3" s="1"/>
  <c r="Y16" i="3" s="1"/>
  <c r="J16" i="3"/>
  <c r="W16" i="3" s="1"/>
  <c r="E16" i="3"/>
  <c r="S15" i="3"/>
  <c r="R15" i="3"/>
  <c r="Q15" i="3"/>
  <c r="L15" i="3"/>
  <c r="M15" i="3" s="1"/>
  <c r="K15" i="3"/>
  <c r="J15" i="3"/>
  <c r="E15" i="3"/>
  <c r="U15" i="3" s="1"/>
  <c r="R14" i="3"/>
  <c r="S14" i="3" s="1"/>
  <c r="Q14" i="3"/>
  <c r="K14" i="3"/>
  <c r="L14" i="3" s="1"/>
  <c r="M14" i="3" s="1"/>
  <c r="J14" i="3"/>
  <c r="E14" i="3"/>
  <c r="U14" i="3" s="1"/>
  <c r="U13" i="3"/>
  <c r="R13" i="3"/>
  <c r="S13" i="3" s="1"/>
  <c r="Q13" i="3"/>
  <c r="K13" i="3"/>
  <c r="L13" i="3" s="1"/>
  <c r="M13" i="3" s="1"/>
  <c r="Y13" i="3" s="1"/>
  <c r="J13" i="3"/>
  <c r="W13" i="3" s="1"/>
  <c r="E13" i="3"/>
  <c r="U12" i="3"/>
  <c r="R12" i="3"/>
  <c r="S12" i="3" s="1"/>
  <c r="T12" i="3" s="1"/>
  <c r="X12" i="3" s="1"/>
  <c r="Q12" i="3"/>
  <c r="M12" i="3"/>
  <c r="Y12" i="3" s="1"/>
  <c r="L12" i="3"/>
  <c r="K12" i="3"/>
  <c r="J12" i="3"/>
  <c r="W12" i="3" s="1"/>
  <c r="E12" i="3"/>
  <c r="S11" i="3"/>
  <c r="R11" i="3"/>
  <c r="Q11" i="3"/>
  <c r="L11" i="3"/>
  <c r="M11" i="3" s="1"/>
  <c r="K11" i="3"/>
  <c r="J11" i="3"/>
  <c r="E11" i="3"/>
  <c r="F11" i="3" s="1"/>
  <c r="V11" i="3" s="1"/>
  <c r="R10" i="3"/>
  <c r="S10" i="3" s="1"/>
  <c r="Q10" i="3"/>
  <c r="K10" i="3"/>
  <c r="L10" i="3" s="1"/>
  <c r="M10" i="3" s="1"/>
  <c r="J10" i="3"/>
  <c r="E10" i="3"/>
  <c r="U10" i="3" s="1"/>
  <c r="U9" i="3"/>
  <c r="R9" i="3"/>
  <c r="S9" i="3" s="1"/>
  <c r="Q9" i="3"/>
  <c r="K9" i="3"/>
  <c r="L9" i="3" s="1"/>
  <c r="M9" i="3" s="1"/>
  <c r="Y9" i="3" s="1"/>
  <c r="J9" i="3"/>
  <c r="W9" i="3" s="1"/>
  <c r="E9" i="3"/>
  <c r="U8" i="3"/>
  <c r="T8" i="3"/>
  <c r="X8" i="3" s="1"/>
  <c r="S8" i="3"/>
  <c r="R8" i="3"/>
  <c r="Q8" i="3"/>
  <c r="K8" i="3"/>
  <c r="L8" i="3" s="1"/>
  <c r="M8" i="3" s="1"/>
  <c r="Y8" i="3" s="1"/>
  <c r="J8" i="3"/>
  <c r="W8" i="3" s="1"/>
  <c r="E8" i="3"/>
  <c r="S7" i="3"/>
  <c r="T7" i="3" s="1"/>
  <c r="X7" i="3" s="1"/>
  <c r="R7" i="3"/>
  <c r="Q7" i="3"/>
  <c r="L7" i="3"/>
  <c r="M7" i="3" s="1"/>
  <c r="K7" i="3"/>
  <c r="J7" i="3"/>
  <c r="E7" i="3"/>
  <c r="U7" i="3" s="1"/>
  <c r="R6" i="3"/>
  <c r="S6" i="3" s="1"/>
  <c r="Q6" i="3"/>
  <c r="K6" i="3"/>
  <c r="L6" i="3" s="1"/>
  <c r="M6" i="3" s="1"/>
  <c r="J6" i="3"/>
  <c r="E6" i="3"/>
  <c r="U6" i="3" s="1"/>
  <c r="U5" i="3"/>
  <c r="R5" i="3"/>
  <c r="S5" i="3" s="1"/>
  <c r="Q5" i="3"/>
  <c r="K5" i="3"/>
  <c r="L5" i="3" s="1"/>
  <c r="J5" i="3"/>
  <c r="E5" i="3"/>
  <c r="F5" i="3" s="1"/>
  <c r="V5" i="3" s="1"/>
  <c r="B28" i="1"/>
  <c r="T17" i="3" s="1"/>
  <c r="C17" i="1"/>
  <c r="C18" i="1" s="1"/>
  <c r="C19" i="1" s="1"/>
  <c r="C16" i="1"/>
  <c r="C33" i="1" s="1"/>
  <c r="B16" i="1"/>
  <c r="B17" i="1" s="1"/>
  <c r="B18" i="1" s="1"/>
  <c r="B19" i="1" s="1"/>
  <c r="E46" i="5"/>
  <c r="D46" i="5"/>
  <c r="D45" i="5"/>
  <c r="E45" i="5" s="1"/>
  <c r="E44" i="5"/>
  <c r="D44" i="5"/>
  <c r="B38" i="5"/>
  <c r="B35" i="5"/>
  <c r="B40" i="5" s="1"/>
  <c r="B32" i="5"/>
  <c r="B26" i="5"/>
  <c r="B27" i="5" s="1"/>
  <c r="B28" i="5" s="1"/>
  <c r="B23" i="5"/>
  <c r="B24" i="5" s="1"/>
  <c r="B25" i="5" s="1"/>
  <c r="F18" i="5"/>
  <c r="E18" i="5"/>
  <c r="F17" i="5"/>
  <c r="E17" i="5"/>
  <c r="F16" i="5"/>
  <c r="B20" i="5" s="1"/>
  <c r="E16" i="5"/>
  <c r="F15" i="5"/>
  <c r="E15" i="5"/>
  <c r="B11" i="5"/>
  <c r="B4" i="5"/>
  <c r="B6" i="5" s="1"/>
  <c r="Y5" i="3" l="1"/>
  <c r="W5" i="3"/>
  <c r="D42" i="6"/>
  <c r="Y11" i="3"/>
  <c r="W11" i="3"/>
  <c r="X17" i="3"/>
  <c r="Y6" i="3"/>
  <c r="W6" i="3"/>
  <c r="Y10" i="3"/>
  <c r="W10" i="3"/>
  <c r="Y15" i="3"/>
  <c r="W15" i="3"/>
  <c r="D41" i="6"/>
  <c r="X5" i="3"/>
  <c r="F17" i="3"/>
  <c r="V17" i="3" s="1"/>
  <c r="F9" i="3"/>
  <c r="V9" i="3" s="1"/>
  <c r="B15" i="2"/>
  <c r="C15" i="2" s="1"/>
  <c r="B11" i="2"/>
  <c r="C11" i="2" s="1"/>
  <c r="B7" i="2"/>
  <c r="C7" i="2" s="1"/>
  <c r="B14" i="2"/>
  <c r="C14" i="2" s="1"/>
  <c r="B6" i="2"/>
  <c r="C6" i="2" s="1"/>
  <c r="B12" i="2"/>
  <c r="C12" i="2" s="1"/>
  <c r="F12" i="3"/>
  <c r="V12" i="3" s="1"/>
  <c r="B10" i="2"/>
  <c r="C10" i="2" s="1"/>
  <c r="B13" i="2"/>
  <c r="C13" i="2" s="1"/>
  <c r="B5" i="2"/>
  <c r="C5" i="2" s="1"/>
  <c r="F16" i="3"/>
  <c r="V16" i="3" s="1"/>
  <c r="B8" i="2"/>
  <c r="C8" i="2" s="1"/>
  <c r="B9" i="2"/>
  <c r="C9" i="2" s="1"/>
  <c r="F8" i="3"/>
  <c r="V8" i="3" s="1"/>
  <c r="B16" i="2"/>
  <c r="C16" i="2" s="1"/>
  <c r="B4" i="2"/>
  <c r="C4" i="2" s="1"/>
  <c r="F13" i="3"/>
  <c r="V13" i="3" s="1"/>
  <c r="Y14" i="3"/>
  <c r="W14" i="3"/>
  <c r="I16" i="4"/>
  <c r="I13" i="4"/>
  <c r="I15" i="4"/>
  <c r="I14" i="4"/>
  <c r="X9" i="3"/>
  <c r="X14" i="3"/>
  <c r="M18" i="4"/>
  <c r="D40" i="6"/>
  <c r="Y7" i="3"/>
  <c r="W7" i="3"/>
  <c r="F7" i="3"/>
  <c r="V7" i="3" s="1"/>
  <c r="F15" i="3"/>
  <c r="V15" i="3" s="1"/>
  <c r="T15" i="3"/>
  <c r="X15" i="3" s="1"/>
  <c r="B36" i="5"/>
  <c r="F6" i="3"/>
  <c r="V6" i="3" s="1"/>
  <c r="T6" i="3"/>
  <c r="X6" i="3" s="1"/>
  <c r="F14" i="3"/>
  <c r="V14" i="3" s="1"/>
  <c r="T14" i="3"/>
  <c r="B37" i="5"/>
  <c r="T5" i="3"/>
  <c r="T13" i="3"/>
  <c r="X13" i="3" s="1"/>
  <c r="F10" i="3"/>
  <c r="V10" i="3" s="1"/>
  <c r="T10" i="3"/>
  <c r="X10" i="3" s="1"/>
  <c r="U11" i="3"/>
  <c r="B39" i="5"/>
  <c r="T11" i="3"/>
  <c r="X11" i="3" s="1"/>
  <c r="C32" i="1"/>
  <c r="T9" i="3"/>
</calcChain>
</file>

<file path=xl/sharedStrings.xml><?xml version="1.0" encoding="utf-8"?>
<sst xmlns="http://schemas.openxmlformats.org/spreadsheetml/2006/main" count="301" uniqueCount="185">
  <si>
    <t>Inputs, water properties and uncertainty parameters</t>
  </si>
  <si>
    <t>Blue = input value (source in column D); black = formula.</t>
  </si>
  <si>
    <t>Quantity</t>
  </si>
  <si>
    <t>Value</t>
  </si>
  <si>
    <t>Unit</t>
  </si>
  <si>
    <t>Source</t>
  </si>
  <si>
    <t>Displacement weight, W</t>
  </si>
  <si>
    <t>N</t>
  </si>
  <si>
    <t>Data_Eval workbooks, ANALYZE DATA!B33</t>
  </si>
  <si>
    <t>Gravitational acceleration, g</t>
  </si>
  <si>
    <t>m/s²</t>
  </si>
  <si>
    <t>As used in the Data_Eval workbooks</t>
  </si>
  <si>
    <t>Water temperature, 640 mm (Sets A–C, same day)</t>
  </si>
  <si>
    <t>°C</t>
  </si>
  <si>
    <t>Measured during testing</t>
  </si>
  <si>
    <t>Water temperature, 560 and 480 mm</t>
  </si>
  <si>
    <t>ITTC 7.5-02-01-03 Rev 02 (2011), Appendix A: fresh water properties used</t>
  </si>
  <si>
    <t>Temperature (°C)</t>
  </si>
  <si>
    <t>ρ (kg/m³)</t>
  </si>
  <si>
    <t>ν (m²/s)</t>
  </si>
  <si>
    <t>ITTC 7.5-02-01-03 Rev 02 (2011), Appendix A (0.1 °C increments)</t>
  </si>
  <si>
    <t>640 mm</t>
  </si>
  <si>
    <t>560 and 480 mm</t>
  </si>
  <si>
    <t>Water density, ρ (ITTC 2011)</t>
  </si>
  <si>
    <t>kg/m³</t>
  </si>
  <si>
    <t>Displaced volume, ∇ = W/(ρg)  (Equation 4.2)</t>
  </si>
  <si>
    <t>m³</t>
  </si>
  <si>
    <t>∇^(1/3)</t>
  </si>
  <si>
    <t>m</t>
  </si>
  <si>
    <t>Reference speed, √(g∇^(1/3))  (denominator of Equation 4.1)</t>
  </si>
  <si>
    <t>m/s</t>
  </si>
  <si>
    <t>Uncertainty inputs (Figliola &amp; Beasley, 2019; Equations 4.5 and 4.6)</t>
  </si>
  <si>
    <t>Number of repeat sets, N</t>
  </si>
  <si>
    <t>Sets A–C (Table 4.3)</t>
  </si>
  <si>
    <t>Student's t, 95 %, two degrees of freedom, t95</t>
  </si>
  <si>
    <t>Student t table, ν = N − 1 = 2</t>
  </si>
  <si>
    <t>Systematic term, drag</t>
  </si>
  <si>
    <t>Potentiometer resolution (P25 variant)</t>
  </si>
  <si>
    <t>mm</t>
  </si>
  <si>
    <t>Micro-Epsilon (n.d.)</t>
  </si>
  <si>
    <t>Attachment spacing, dpot</t>
  </si>
  <si>
    <t>Data_Eval_640.xls, ANALYZE DATA!B10</t>
  </si>
  <si>
    <t>Systematic term, trim: half resolution per potentiometer through Equation 4.3</t>
  </si>
  <si>
    <t>deg</t>
  </si>
  <si>
    <t>Calculated</t>
  </si>
  <si>
    <t>Check: density to use inside the Data_Eval workbooks (ITTC 2011)</t>
  </si>
  <si>
    <t>Workbook</t>
  </si>
  <si>
    <t>ρ used (kg/m³)</t>
  </si>
  <si>
    <t>Effect on Fn∇</t>
  </si>
  <si>
    <t>Note</t>
  </si>
  <si>
    <t>Data_Eval_640.xls</t>
  </si>
  <si>
    <t>Data_Eval_560.xls and Data_Eval_480.xls</t>
  </si>
  <si>
    <t>Table 4.4: Test speeds and volumetric Froude numbers (Equation 4.1, 15.8 °C water)</t>
  </si>
  <si>
    <t>V (m/s)</t>
  </si>
  <si>
    <t>Fn∇</t>
  </si>
  <si>
    <t>Fn∇ as printed in Table 4.4</t>
  </si>
  <si>
    <t>Speeds are the nominal (target) test speeds; the reference speed √(g∇^(1/3)) is on the Inputs sheet.</t>
  </si>
  <si>
    <t>Blue columns: measured run means from Data_Eval_640.xls, ANALYZE DATA. Speed and drag are the numbers inside the Fn∇ and D/W formulas (rows 2–3, 26–27, 49–50); trim is rows 4, 28 and 51. All other columns are formulas.</t>
  </si>
  <si>
    <t>Speed</t>
  </si>
  <si>
    <t>Drag force (N)</t>
  </si>
  <si>
    <t>Running trim (deg)</t>
  </si>
  <si>
    <t>Step</t>
  </si>
  <si>
    <t>V Set A (m/s)</t>
  </si>
  <si>
    <t>V Set B (m/s)</t>
  </si>
  <si>
    <t>V Set C (m/s)</t>
  </si>
  <si>
    <t>Mean V (m/s)</t>
  </si>
  <si>
    <t>F Set A</t>
  </si>
  <si>
    <t>F Set B</t>
  </si>
  <si>
    <t>F Set C</t>
  </si>
  <si>
    <t>Mean F</t>
  </si>
  <si>
    <t>s</t>
  </si>
  <si>
    <t>s / √N</t>
  </si>
  <si>
    <t>uₓ (95 %)</t>
  </si>
  <si>
    <t>τ Set A</t>
  </si>
  <si>
    <t>τ Set B</t>
  </si>
  <si>
    <t>τ Set C</t>
  </si>
  <si>
    <t>Mean τ</t>
  </si>
  <si>
    <t>F (N)</t>
  </si>
  <si>
    <t>τ (deg)</t>
  </si>
  <si>
    <t>u_F / mean F (%)</t>
  </si>
  <si>
    <t>Wetted lengths and area at LCG 560 mm: measured (coating wash-off) and Savitsky (1964) prediction</t>
  </si>
  <si>
    <t>Blue = input (measured values from the wash-off runs; predictions from Savitsky_Wetted_Area.m). Black = formula.</t>
  </si>
  <si>
    <t>Beam, b</t>
  </si>
  <si>
    <t>Table 4.1</t>
  </si>
  <si>
    <t>Deadrise angle, β</t>
  </si>
  <si>
    <t>Water temperature</t>
  </si>
  <si>
    <t>Measured, wetted-area runs</t>
  </si>
  <si>
    <t>ITTC (2011) density at 19 °C</t>
  </si>
  <si>
    <t>ITTC 7.5-02-01-03 Rev 02 (2011), Appendix A</t>
  </si>
  <si>
    <t>Water density, ρ</t>
  </si>
  <si>
    <t>Formula</t>
  </si>
  <si>
    <t>Reference speed, √(g∇^(1/3))</t>
  </si>
  <si>
    <t>Equations 4.1 and 4.2</t>
  </si>
  <si>
    <t>Run</t>
  </si>
  <si>
    <t>Lk meas. (m)</t>
  </si>
  <si>
    <t>Lc meas. (m)</t>
  </si>
  <si>
    <t>Mean wetted length (m)</t>
  </si>
  <si>
    <t>λ meas.</t>
  </si>
  <si>
    <t>Plan-view area A = b·Lc + ½b(Lk − Lc) (m²)</t>
  </si>
  <si>
    <t>Wetted surface S (m²)</t>
  </si>
  <si>
    <t>λ pred.</t>
  </si>
  <si>
    <t>Lk pred. (m)</t>
  </si>
  <si>
    <t>Lc pred. (m)</t>
  </si>
  <si>
    <t>λ error, Eq. 5.1 (%)</t>
  </si>
  <si>
    <t>Lk error, Eq. 5.1 (%)</t>
  </si>
  <si>
    <t>Lc error, Eq. 5.1 (%)</t>
  </si>
  <si>
    <t>S pred. (m²)</t>
  </si>
  <si>
    <t>Mean absolute λ error (%)</t>
  </si>
  <si>
    <t>A = b(Lk + Lc)/2 and S = A/cos β (Equations 4.7 and 4.8); λ = (Lk + Lc)/(2b) (Equation 5.3).</t>
  </si>
  <si>
    <t>Chapter 4: remaining calculations (blue = input with source; black = formula)</t>
  </si>
  <si>
    <t>Mass and ballast (§4.7.1)</t>
  </si>
  <si>
    <t>Displaced mass, Δ/g</t>
  </si>
  <si>
    <t>kg</t>
  </si>
  <si>
    <t>Bare hull mass</t>
  </si>
  <si>
    <t>Scale reading</t>
  </si>
  <si>
    <t>Ballast needed</t>
  </si>
  <si>
    <t>Trim reduction of one run (Equation 4.3): 2.47 m/s, window 14.0–26.0 s</t>
  </si>
  <si>
    <t>Mean bow reading</t>
  </si>
  <si>
    <t>Data_Eval_640.xls, live block</t>
  </si>
  <si>
    <t>Mean stern reading</t>
  </si>
  <si>
    <t>Running trim τ = τ₀ + atan((−bow − (−stern))/dpot)</t>
  </si>
  <si>
    <t>τ₀ = 2.2° (Table 4.3)</t>
  </si>
  <si>
    <t>Signal-to-noise ratio and standard error (§4.6): 2.47 m/s run, 14.0–26.0 s</t>
  </si>
  <si>
    <t>Signal</t>
  </si>
  <si>
    <t>Mean</t>
  </si>
  <si>
    <t>Standard deviation</t>
  </si>
  <si>
    <t>Samples</t>
  </si>
  <si>
    <t>Signal-to-noise ratio</t>
  </si>
  <si>
    <t>Standard error of mean</t>
  </si>
  <si>
    <t>Speed (m/s)</t>
  </si>
  <si>
    <t>Drag (N)</t>
  </si>
  <si>
    <t>Bow displacement (mm)</t>
  </si>
  <si>
    <t>Stern displacement (mm)</t>
  </si>
  <si>
    <t>Source: Data_Eval_640.xls RAW DATA, 14.0 ≤ t ≤ 26.0 s</t>
  </si>
  <si>
    <t>Drag standard error / set-to-set s at 2.47 m/s</t>
  </si>
  <si>
    <t>Potentiometer linearity propagated to trim (§4.11)</t>
  </si>
  <si>
    <t>P25 linearity error, 0.25 % of 750 mm</t>
  </si>
  <si>
    <t>P25 trim bound B = √2·e/dpot</t>
  </si>
  <si>
    <t>P25 standard uncertainty B/2</t>
  </si>
  <si>
    <t>P10 linearity error, 0.1 % of 750 mm</t>
  </si>
  <si>
    <t>P10 trim bound B = √2·e/dpot</t>
  </si>
  <si>
    <t>P10 standard uncertainty B/2</t>
  </si>
  <si>
    <t>Load-cell range used (§4.11)</t>
  </si>
  <si>
    <t>Largest mean drag (480 mm, 3.48 m/s)</t>
  </si>
  <si>
    <t>Data_Eval_480.xls</t>
  </si>
  <si>
    <t>Percentage of 490.5 N capacity</t>
  </si>
  <si>
    <t>%</t>
  </si>
  <si>
    <t>Reynolds number and laminar length (§4.11, Equation 4.4): water at 15.8 °C</t>
  </si>
  <si>
    <t>Kinematic viscosity (ITTC 2011, 15.8 °C)</t>
  </si>
  <si>
    <t>m²/s</t>
  </si>
  <si>
    <t>Reynolds number at 0.41 m/s, V·Lp/ν</t>
  </si>
  <si>
    <t>Reynolds number at 6.59 m/s, V·Lp/ν</t>
  </si>
  <si>
    <t>Laminar length at 0.41 m/s, 5×10⁵ν/V</t>
  </si>
  <si>
    <t>Laminar length at 2 m/s, 5×10⁵ν/V</t>
  </si>
  <si>
    <t>Laminar length at 6.5 m/s, 5×10⁵ν/V</t>
  </si>
  <si>
    <t>Trim-dependent drag term at each trim peak (§4.13): Δ tan τ / D</t>
  </si>
  <si>
    <t>LCG</t>
  </si>
  <si>
    <t>Trim peak (deg)</t>
  </si>
  <si>
    <t>Drag at the peak (N)</t>
  </si>
  <si>
    <t>Δ tan τ (N)</t>
  </si>
  <si>
    <t>Share of drag (%)</t>
  </si>
  <si>
    <t>560 mm</t>
  </si>
  <si>
    <t>480 mm</t>
  </si>
  <si>
    <t>Source: Data_Eval workbooks (640 mm is the mean of three sets)</t>
  </si>
  <si>
    <t>Chapter 5: prediction errors (Equation 5.1) and mean absolute errors (Equation 5.2)</t>
  </si>
  <si>
    <t>Blue: measured values (Data_Eval workbooks) and predictions (Savitsky_Code_Test_m_Factor_All.m output). Black: formulas.</t>
  </si>
  <si>
    <t>D/Δ meas.</t>
  </si>
  <si>
    <t>τ meas. (deg)</t>
  </si>
  <si>
    <t>D/Δ Savitsky</t>
  </si>
  <si>
    <t>M</t>
  </si>
  <si>
    <t>τ pred. (deg)</t>
  </si>
  <si>
    <t>D/Δ Sav. + M</t>
  </si>
  <si>
    <t>e Savitsky (%)</t>
  </si>
  <si>
    <t>e Sav. + M (%)</t>
  </si>
  <si>
    <t>e trim (%)</t>
  </si>
  <si>
    <t>Trim offset (deg)</t>
  </si>
  <si>
    <t>Table 5.2: mean absolute errors</t>
  </si>
  <si>
    <t>Points compared</t>
  </si>
  <si>
    <t>Savitsky drag MAE (%)</t>
  </si>
  <si>
    <t>Savitsky + M-factor drag MAE (%)</t>
  </si>
  <si>
    <t>Trim MAE (%)</t>
  </si>
  <si>
    <t>Mean trim offset (deg)</t>
  </si>
  <si>
    <t>As printed in Table F.1</t>
  </si>
  <si>
    <t>Appendix Table F.1: baseline results at LCG 640 mm, mean of three sets ± uₓ at 95 % confidence</t>
  </si>
  <si>
    <t>No confirmed load-cell accuracy (Section 4.11)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</si>
</sst>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000"/>
    <numFmt numFmtId="165" formatCode="0.0000E+00"/>
    <numFmt numFmtId="166" formatCode="0.000000"/>
    <numFmt numFmtId="167" formatCode="0.00000"/>
    <numFmt numFmtId="168" formatCode="0.000%"/>
    <numFmt numFmtId="169" formatCode="0.0"/>
    <numFmt numFmtId="170" formatCode="0.000"/>
    <numFmt numFmtId="171" formatCode="\+0.0;\-0.0"/>
    <numFmt numFmtId="172" formatCode="0.00000E+00"/>
    <numFmt numFmtId="173" formatCode="\+0.00;\-0.00"/>
  </numFmts>
  <fonts count="6" x14ac:knownFonts="1">
    <font>
      <sz val="11"/>
      <color theme="1"/>
      <name val="Calibri"/>
      <family val="2"/>
      <charset val="1"/>
    </font>
    <font>
      <b/>
      <sz val="12"/>
      <name val="Arial"/>
      <charset val="1"/>
    </font>
    <font>
      <i/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FFFFCC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0" borderId="1" xfId="0" applyFont="1" applyBorder="1"/>
    <xf numFmtId="0" fontId="5" fillId="0" borderId="1" xfId="0" applyFont="1" applyBorder="1"/>
    <xf numFmtId="0" fontId="3" fillId="0" borderId="0" xfId="0" applyFont="1"/>
    <xf numFmtId="164" fontId="5" fillId="0" borderId="1" xfId="0" applyNumberFormat="1" applyFont="1" applyBorder="1"/>
    <xf numFmtId="165" fontId="5" fillId="0" borderId="1" xfId="0" applyNumberFormat="1" applyFont="1" applyBorder="1"/>
    <xf numFmtId="0" fontId="4" fillId="0" borderId="0" xfId="0" applyFont="1"/>
    <xf numFmtId="2" fontId="4" fillId="0" borderId="1" xfId="0" applyNumberFormat="1" applyFont="1" applyBorder="1"/>
    <xf numFmtId="166" fontId="4" fillId="0" borderId="1" xfId="0" applyNumberFormat="1" applyFont="1" applyBorder="1"/>
    <xf numFmtId="167" fontId="4" fillId="0" borderId="1" xfId="0" applyNumberFormat="1" applyFont="1" applyBorder="1"/>
    <xf numFmtId="164" fontId="4" fillId="0" borderId="1" xfId="0" applyNumberFormat="1" applyFont="1" applyBorder="1"/>
    <xf numFmtId="168" fontId="4" fillId="0" borderId="1" xfId="0" applyNumberFormat="1" applyFont="1" applyBorder="1"/>
    <xf numFmtId="0" fontId="3" fillId="2" borderId="1" xfId="0" applyFont="1" applyFill="1" applyBorder="1" applyAlignment="1">
      <alignment horizontal="center" vertical="center" wrapText="1"/>
    </xf>
    <xf numFmtId="169" fontId="5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9" fontId="4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167" fontId="4" fillId="0" borderId="1" xfId="0" applyNumberFormat="1" applyFont="1" applyBorder="1" applyAlignment="1">
      <alignment horizontal="center" vertical="center" wrapText="1"/>
    </xf>
    <xf numFmtId="170" fontId="5" fillId="0" borderId="1" xfId="0" applyNumberFormat="1" applyFont="1" applyBorder="1" applyAlignment="1">
      <alignment horizontal="center" vertical="center" wrapText="1"/>
    </xf>
    <xf numFmtId="171" fontId="4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70" fontId="4" fillId="0" borderId="1" xfId="0" applyNumberFormat="1" applyFont="1" applyBorder="1" applyAlignment="1">
      <alignment horizontal="center" vertical="center" wrapText="1"/>
    </xf>
    <xf numFmtId="172" fontId="4" fillId="0" borderId="1" xfId="0" applyNumberFormat="1" applyFont="1" applyBorder="1" applyAlignment="1">
      <alignment horizontal="center" vertical="center" wrapText="1"/>
    </xf>
    <xf numFmtId="11" fontId="4" fillId="0" borderId="1" xfId="0" applyNumberFormat="1" applyFont="1" applyBorder="1" applyAlignment="1">
      <alignment horizontal="center" vertical="center" wrapText="1"/>
    </xf>
    <xf numFmtId="173" fontId="4" fillId="0" borderId="1" xfId="0" applyNumberFormat="1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2" fontId="5" fillId="0" borderId="1" xfId="0" applyNumberFormat="1" applyFont="1" applyFill="1" applyBorder="1" applyAlignment="1">
      <alignment horizontal="center" vertical="center" wrapText="1"/>
    </xf>
    <xf numFmtId="164" fontId="5" fillId="0" borderId="1" xfId="0" applyNumberFormat="1" applyFont="1" applyFill="1" applyBorder="1" applyAlignment="1">
      <alignment horizontal="center" vertical="center" wrapText="1"/>
    </xf>
    <xf numFmtId="170" fontId="5" fillId="0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8E8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opLeftCell="A15" zoomScaleNormal="100" workbookViewId="0">
      <selection activeCell="B28" sqref="B28"/>
    </sheetView>
  </sheetViews>
  <sheetFormatPr defaultColWidth="8.6640625" defaultRowHeight="14.4" x14ac:dyDescent="0.3"/>
  <cols>
    <col min="1" max="1" width="64" customWidth="1"/>
    <col min="2" max="3" width="16" customWidth="1"/>
    <col min="4" max="4" width="64" customWidth="1"/>
  </cols>
  <sheetData>
    <row r="1" spans="1:4" ht="15" customHeight="1" x14ac:dyDescent="0.3">
      <c r="A1" s="1" t="s">
        <v>0</v>
      </c>
    </row>
    <row r="2" spans="1:4" ht="15" customHeight="1" x14ac:dyDescent="0.3">
      <c r="A2" s="2" t="s">
        <v>1</v>
      </c>
    </row>
    <row r="3" spans="1:4" ht="15" customHeight="1" x14ac:dyDescent="0.3">
      <c r="A3" s="3" t="s">
        <v>2</v>
      </c>
      <c r="B3" s="3" t="s">
        <v>3</v>
      </c>
      <c r="C3" s="3" t="s">
        <v>4</v>
      </c>
      <c r="D3" s="3" t="s">
        <v>5</v>
      </c>
    </row>
    <row r="4" spans="1:4" ht="15" customHeight="1" x14ac:dyDescent="0.3">
      <c r="A4" s="4" t="s">
        <v>6</v>
      </c>
      <c r="B4" s="5">
        <v>264.87</v>
      </c>
      <c r="C4" s="4" t="s">
        <v>7</v>
      </c>
      <c r="D4" s="4" t="s">
        <v>8</v>
      </c>
    </row>
    <row r="5" spans="1:4" ht="15" customHeight="1" x14ac:dyDescent="0.3">
      <c r="A5" s="4" t="s">
        <v>9</v>
      </c>
      <c r="B5" s="5">
        <v>9.81</v>
      </c>
      <c r="C5" s="4" t="s">
        <v>10</v>
      </c>
      <c r="D5" s="4" t="s">
        <v>11</v>
      </c>
    </row>
    <row r="6" spans="1:4" ht="15" customHeight="1" x14ac:dyDescent="0.3">
      <c r="A6" s="4" t="s">
        <v>12</v>
      </c>
      <c r="B6" s="5">
        <v>15.8</v>
      </c>
      <c r="C6" s="4" t="s">
        <v>13</v>
      </c>
      <c r="D6" s="4" t="s">
        <v>14</v>
      </c>
    </row>
    <row r="7" spans="1:4" ht="15" customHeight="1" x14ac:dyDescent="0.3">
      <c r="A7" s="4" t="s">
        <v>15</v>
      </c>
      <c r="B7" s="5">
        <v>16.8</v>
      </c>
      <c r="C7" s="4" t="s">
        <v>13</v>
      </c>
      <c r="D7" s="4" t="s">
        <v>14</v>
      </c>
    </row>
    <row r="9" spans="1:4" ht="15" customHeight="1" x14ac:dyDescent="0.3">
      <c r="A9" s="6" t="s">
        <v>16</v>
      </c>
    </row>
    <row r="10" spans="1:4" ht="15" customHeight="1" x14ac:dyDescent="0.3">
      <c r="A10" s="3" t="s">
        <v>17</v>
      </c>
      <c r="B10" s="3" t="s">
        <v>18</v>
      </c>
      <c r="C10" s="3" t="s">
        <v>19</v>
      </c>
    </row>
    <row r="11" spans="1:4" ht="15" customHeight="1" x14ac:dyDescent="0.3">
      <c r="A11" s="5">
        <v>15.8</v>
      </c>
      <c r="B11" s="7">
        <v>998.97829999999999</v>
      </c>
      <c r="C11" s="8">
        <v>1.1149999999999999E-6</v>
      </c>
      <c r="D11" s="9" t="s">
        <v>20</v>
      </c>
    </row>
    <row r="12" spans="1:4" ht="15" customHeight="1" x14ac:dyDescent="0.3">
      <c r="A12" s="5">
        <v>16.8</v>
      </c>
      <c r="B12" s="7">
        <v>998.8125</v>
      </c>
      <c r="C12" s="8">
        <v>1.0866999999999999E-6</v>
      </c>
    </row>
    <row r="13" spans="1:4" ht="15" customHeight="1" x14ac:dyDescent="0.3">
      <c r="A13" s="5">
        <v>19</v>
      </c>
      <c r="B13" s="7">
        <v>998.40830000000005</v>
      </c>
      <c r="C13" s="8">
        <v>1.0283E-6</v>
      </c>
    </row>
    <row r="15" spans="1:4" ht="15" customHeight="1" x14ac:dyDescent="0.3">
      <c r="A15" s="3" t="s">
        <v>2</v>
      </c>
      <c r="B15" s="3" t="s">
        <v>21</v>
      </c>
      <c r="C15" s="3" t="s">
        <v>22</v>
      </c>
      <c r="D15" s="3" t="s">
        <v>4</v>
      </c>
    </row>
    <row r="16" spans="1:4" ht="15" customHeight="1" x14ac:dyDescent="0.3">
      <c r="A16" s="4" t="s">
        <v>23</v>
      </c>
      <c r="B16" s="10">
        <f>B11</f>
        <v>998.97829999999999</v>
      </c>
      <c r="C16" s="10">
        <f>B12</f>
        <v>998.8125</v>
      </c>
      <c r="D16" s="4" t="s">
        <v>24</v>
      </c>
    </row>
    <row r="17" spans="1:4" ht="15" customHeight="1" x14ac:dyDescent="0.3">
      <c r="A17" s="4" t="s">
        <v>25</v>
      </c>
      <c r="B17" s="11">
        <f>$B$4/(B16*$B$5)</f>
        <v>2.7027614113339597E-2</v>
      </c>
      <c r="C17" s="11">
        <f>$B$4/(C16*$B$5)</f>
        <v>2.7032100619485636E-2</v>
      </c>
      <c r="D17" s="4" t="s">
        <v>26</v>
      </c>
    </row>
    <row r="18" spans="1:4" ht="15" customHeight="1" x14ac:dyDescent="0.3">
      <c r="A18" s="4" t="s">
        <v>27</v>
      </c>
      <c r="B18" s="12">
        <f>B17^(1/3)</f>
        <v>0.30010223964674099</v>
      </c>
      <c r="C18" s="12">
        <f>C17^(1/3)</f>
        <v>0.30011884409733175</v>
      </c>
      <c r="D18" s="4" t="s">
        <v>28</v>
      </c>
    </row>
    <row r="19" spans="1:4" ht="15" customHeight="1" x14ac:dyDescent="0.3">
      <c r="A19" s="4" t="s">
        <v>29</v>
      </c>
      <c r="B19" s="12">
        <f>SQRT($B$5*B18)</f>
        <v>1.7158097129153131</v>
      </c>
      <c r="C19" s="12">
        <f>SQRT($B$5*C18)</f>
        <v>1.7158571795446218</v>
      </c>
      <c r="D19" s="4" t="s">
        <v>30</v>
      </c>
    </row>
    <row r="21" spans="1:4" ht="15" customHeight="1" x14ac:dyDescent="0.3">
      <c r="A21" s="6" t="s">
        <v>31</v>
      </c>
    </row>
    <row r="22" spans="1:4" ht="15" customHeight="1" x14ac:dyDescent="0.3">
      <c r="A22" s="3" t="s">
        <v>2</v>
      </c>
      <c r="B22" s="3" t="s">
        <v>3</v>
      </c>
      <c r="C22" s="3" t="s">
        <v>4</v>
      </c>
      <c r="D22" s="3" t="s">
        <v>5</v>
      </c>
    </row>
    <row r="23" spans="1:4" ht="15" customHeight="1" x14ac:dyDescent="0.3">
      <c r="A23" s="4" t="s">
        <v>32</v>
      </c>
      <c r="B23" s="5">
        <v>3</v>
      </c>
      <c r="C23" s="4"/>
      <c r="D23" s="4" t="s">
        <v>33</v>
      </c>
    </row>
    <row r="24" spans="1:4" ht="15" customHeight="1" x14ac:dyDescent="0.3">
      <c r="A24" s="4" t="s">
        <v>34</v>
      </c>
      <c r="B24" s="5">
        <v>4.3029999999999999</v>
      </c>
      <c r="C24" s="4"/>
      <c r="D24" s="4" t="s">
        <v>35</v>
      </c>
    </row>
    <row r="25" spans="1:4" ht="15" customHeight="1" x14ac:dyDescent="0.3">
      <c r="A25" s="4" t="s">
        <v>36</v>
      </c>
      <c r="B25" s="5">
        <v>0</v>
      </c>
      <c r="C25" s="4" t="s">
        <v>7</v>
      </c>
      <c r="D25" s="4" t="s">
        <v>184</v>
      </c>
    </row>
    <row r="26" spans="1:4" ht="15" customHeight="1" x14ac:dyDescent="0.3">
      <c r="A26" s="4" t="s">
        <v>37</v>
      </c>
      <c r="B26" s="5">
        <v>0.2</v>
      </c>
      <c r="C26" s="4" t="s">
        <v>38</v>
      </c>
      <c r="D26" s="4" t="s">
        <v>39</v>
      </c>
    </row>
    <row r="27" spans="1:4" ht="15" customHeight="1" x14ac:dyDescent="0.3">
      <c r="A27" s="4" t="s">
        <v>40</v>
      </c>
      <c r="B27" s="5">
        <v>1690</v>
      </c>
      <c r="C27" s="4" t="s">
        <v>38</v>
      </c>
      <c r="D27" s="4" t="s">
        <v>41</v>
      </c>
    </row>
    <row r="28" spans="1:4" ht="15" customHeight="1" x14ac:dyDescent="0.3">
      <c r="A28" s="4" t="s">
        <v>42</v>
      </c>
      <c r="B28" s="13">
        <f>DEGREES(SQRT(2)*(B26/2)/B27)</f>
        <v>4.7945839321976071E-3</v>
      </c>
      <c r="C28" s="4" t="s">
        <v>43</v>
      </c>
      <c r="D28" s="4" t="s">
        <v>44</v>
      </c>
    </row>
    <row r="30" spans="1:4" ht="15" customHeight="1" x14ac:dyDescent="0.3">
      <c r="A30" s="6" t="s">
        <v>45</v>
      </c>
    </row>
    <row r="31" spans="1:4" ht="15" customHeight="1" x14ac:dyDescent="0.3">
      <c r="A31" s="3" t="s">
        <v>46</v>
      </c>
      <c r="B31" s="3" t="s">
        <v>47</v>
      </c>
      <c r="C31" s="3" t="s">
        <v>48</v>
      </c>
      <c r="D31" s="3" t="s">
        <v>49</v>
      </c>
    </row>
    <row r="32" spans="1:4" ht="15" customHeight="1" x14ac:dyDescent="0.3">
      <c r="A32" s="4" t="s">
        <v>50</v>
      </c>
      <c r="B32" s="5">
        <v>998.97829999999999</v>
      </c>
      <c r="C32" s="14">
        <f>(B16/B32)^(1/6)-1</f>
        <v>0</v>
      </c>
      <c r="D32" s="4"/>
    </row>
    <row r="33" spans="1:4" ht="15" customHeight="1" x14ac:dyDescent="0.3">
      <c r="A33" s="4" t="s">
        <v>51</v>
      </c>
      <c r="B33" s="5">
        <v>998.8125</v>
      </c>
      <c r="C33" s="14">
        <f>(C16/B33)^(1/6)-1</f>
        <v>0</v>
      </c>
      <c r="D33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zoomScaleNormal="100" workbookViewId="0">
      <selection activeCell="C5" sqref="C5"/>
    </sheetView>
  </sheetViews>
  <sheetFormatPr defaultColWidth="8.6640625" defaultRowHeight="14.4" x14ac:dyDescent="0.3"/>
  <cols>
    <col min="1" max="2" width="12" customWidth="1"/>
    <col min="3" max="3" width="26" customWidth="1"/>
  </cols>
  <sheetData>
    <row r="1" spans="1:3" ht="15" customHeight="1" x14ac:dyDescent="0.3">
      <c r="A1" s="1" t="s">
        <v>52</v>
      </c>
    </row>
    <row r="3" spans="1:3" ht="15" customHeight="1" x14ac:dyDescent="0.3">
      <c r="A3" s="15" t="s">
        <v>53</v>
      </c>
      <c r="B3" s="15" t="s">
        <v>54</v>
      </c>
      <c r="C3" s="15" t="s">
        <v>55</v>
      </c>
    </row>
    <row r="4" spans="1:3" ht="15" customHeight="1" x14ac:dyDescent="0.3">
      <c r="A4" s="16">
        <v>0.5</v>
      </c>
      <c r="B4" s="17">
        <f>A4/Inputs!$B$19</f>
        <v>0.29140760553829453</v>
      </c>
      <c r="C4" s="18">
        <f t="shared" ref="C4:C16" si="0">ROUND(B4,2)</f>
        <v>0.28999999999999998</v>
      </c>
    </row>
    <row r="5" spans="1:3" ht="15" customHeight="1" x14ac:dyDescent="0.3">
      <c r="A5" s="16">
        <v>1</v>
      </c>
      <c r="B5" s="17">
        <f>A5/Inputs!$B$19</f>
        <v>0.58281521107658907</v>
      </c>
      <c r="C5" s="18">
        <f t="shared" si="0"/>
        <v>0.57999999999999996</v>
      </c>
    </row>
    <row r="6" spans="1:3" ht="15" customHeight="1" x14ac:dyDescent="0.3">
      <c r="A6" s="16">
        <v>1.5</v>
      </c>
      <c r="B6" s="17">
        <f>A6/Inputs!$B$19</f>
        <v>0.87422281661488366</v>
      </c>
      <c r="C6" s="18">
        <f t="shared" si="0"/>
        <v>0.87</v>
      </c>
    </row>
    <row r="7" spans="1:3" ht="15" customHeight="1" x14ac:dyDescent="0.3">
      <c r="A7" s="16">
        <v>2</v>
      </c>
      <c r="B7" s="17">
        <f>A7/Inputs!$B$19</f>
        <v>1.1656304221531781</v>
      </c>
      <c r="C7" s="18">
        <f t="shared" si="0"/>
        <v>1.17</v>
      </c>
    </row>
    <row r="8" spans="1:3" ht="15" customHeight="1" x14ac:dyDescent="0.3">
      <c r="A8" s="16">
        <v>2.5</v>
      </c>
      <c r="B8" s="17">
        <f>A8/Inputs!$B$19</f>
        <v>1.4570380276914727</v>
      </c>
      <c r="C8" s="18">
        <f t="shared" si="0"/>
        <v>1.46</v>
      </c>
    </row>
    <row r="9" spans="1:3" ht="15" customHeight="1" x14ac:dyDescent="0.3">
      <c r="A9" s="16">
        <v>3</v>
      </c>
      <c r="B9" s="17">
        <f>A9/Inputs!$B$19</f>
        <v>1.7484456332297673</v>
      </c>
      <c r="C9" s="18">
        <f t="shared" si="0"/>
        <v>1.75</v>
      </c>
    </row>
    <row r="10" spans="1:3" ht="15" customHeight="1" x14ac:dyDescent="0.3">
      <c r="A10" s="16">
        <v>3.5</v>
      </c>
      <c r="B10" s="17">
        <f>A10/Inputs!$B$19</f>
        <v>2.0398532387680617</v>
      </c>
      <c r="C10" s="18">
        <f t="shared" si="0"/>
        <v>2.04</v>
      </c>
    </row>
    <row r="11" spans="1:3" ht="15" customHeight="1" x14ac:dyDescent="0.3">
      <c r="A11" s="16">
        <v>4</v>
      </c>
      <c r="B11" s="17">
        <f>A11/Inputs!$B$19</f>
        <v>2.3312608443063563</v>
      </c>
      <c r="C11" s="18">
        <f t="shared" si="0"/>
        <v>2.33</v>
      </c>
    </row>
    <row r="12" spans="1:3" ht="15" customHeight="1" x14ac:dyDescent="0.3">
      <c r="A12" s="16">
        <v>4.5</v>
      </c>
      <c r="B12" s="17">
        <f>A12/Inputs!$B$19</f>
        <v>2.6226684498446509</v>
      </c>
      <c r="C12" s="18">
        <f t="shared" si="0"/>
        <v>2.62</v>
      </c>
    </row>
    <row r="13" spans="1:3" ht="15" customHeight="1" x14ac:dyDescent="0.3">
      <c r="A13" s="16">
        <v>5</v>
      </c>
      <c r="B13" s="17">
        <f>A13/Inputs!$B$19</f>
        <v>2.9140760553829455</v>
      </c>
      <c r="C13" s="18">
        <f t="shared" si="0"/>
        <v>2.91</v>
      </c>
    </row>
    <row r="14" spans="1:3" ht="15" customHeight="1" x14ac:dyDescent="0.3">
      <c r="A14" s="16">
        <v>5.5</v>
      </c>
      <c r="B14" s="17">
        <f>A14/Inputs!$B$19</f>
        <v>3.20548366092124</v>
      </c>
      <c r="C14" s="18">
        <f t="shared" si="0"/>
        <v>3.21</v>
      </c>
    </row>
    <row r="15" spans="1:3" ht="15" customHeight="1" x14ac:dyDescent="0.3">
      <c r="A15" s="16">
        <v>6</v>
      </c>
      <c r="B15" s="17">
        <f>A15/Inputs!$B$19</f>
        <v>3.4968912664595346</v>
      </c>
      <c r="C15" s="18">
        <f t="shared" si="0"/>
        <v>3.5</v>
      </c>
    </row>
    <row r="16" spans="1:3" ht="15" customHeight="1" x14ac:dyDescent="0.3">
      <c r="A16" s="16">
        <v>6.5</v>
      </c>
      <c r="B16" s="17">
        <f>A16/Inputs!$B$19</f>
        <v>3.7882988719978292</v>
      </c>
      <c r="C16" s="18">
        <f t="shared" si="0"/>
        <v>3.79</v>
      </c>
    </row>
    <row r="18" spans="1:1" ht="15" customHeight="1" x14ac:dyDescent="0.3">
      <c r="A18" s="2" t="s">
        <v>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7"/>
  <sheetViews>
    <sheetView zoomScaleNormal="100" workbookViewId="0">
      <pane xSplit="1" ySplit="4" topLeftCell="J5" activePane="bottomRight" state="frozen"/>
      <selection pane="topRight" activeCell="F1" sqref="F1"/>
      <selection pane="bottomLeft" activeCell="A5" sqref="A5"/>
      <selection pane="bottomRight" activeCell="W6" sqref="W6"/>
    </sheetView>
  </sheetViews>
  <sheetFormatPr defaultColWidth="8.6640625" defaultRowHeight="14.4" x14ac:dyDescent="0.3"/>
  <cols>
    <col min="1" max="22" width="11" customWidth="1"/>
    <col min="23" max="23" width="13" customWidth="1"/>
    <col min="24" max="24" width="14" customWidth="1"/>
    <col min="25" max="25" width="12" customWidth="1"/>
  </cols>
  <sheetData>
    <row r="1" spans="1:25" ht="15" customHeight="1" x14ac:dyDescent="0.3">
      <c r="A1" s="1" t="s">
        <v>183</v>
      </c>
    </row>
    <row r="2" spans="1:25" ht="15" customHeight="1" x14ac:dyDescent="0.3">
      <c r="A2" s="2" t="s">
        <v>57</v>
      </c>
    </row>
    <row r="3" spans="1:25" ht="15" customHeight="1" x14ac:dyDescent="0.3">
      <c r="B3" s="36" t="s">
        <v>58</v>
      </c>
      <c r="C3" s="36"/>
      <c r="D3" s="36"/>
      <c r="E3" s="36"/>
      <c r="F3" s="36"/>
      <c r="G3" s="36" t="s">
        <v>59</v>
      </c>
      <c r="H3" s="36"/>
      <c r="I3" s="36"/>
      <c r="J3" s="36"/>
      <c r="K3" s="36"/>
      <c r="L3" s="36"/>
      <c r="M3" s="36"/>
      <c r="N3" s="36" t="s">
        <v>60</v>
      </c>
      <c r="O3" s="36"/>
      <c r="P3" s="36"/>
      <c r="Q3" s="36"/>
      <c r="R3" s="36"/>
      <c r="S3" s="36"/>
      <c r="T3" s="36"/>
      <c r="U3" s="36" t="s">
        <v>182</v>
      </c>
      <c r="V3" s="36"/>
      <c r="W3" s="36"/>
      <c r="X3" s="36"/>
    </row>
    <row r="4" spans="1:25" ht="23.25" customHeight="1" x14ac:dyDescent="0.3">
      <c r="A4" s="15" t="s">
        <v>61</v>
      </c>
      <c r="B4" s="15" t="s">
        <v>62</v>
      </c>
      <c r="C4" s="15" t="s">
        <v>63</v>
      </c>
      <c r="D4" s="15" t="s">
        <v>64</v>
      </c>
      <c r="E4" s="15" t="s">
        <v>65</v>
      </c>
      <c r="F4" s="15" t="s">
        <v>54</v>
      </c>
      <c r="G4" s="15" t="s">
        <v>66</v>
      </c>
      <c r="H4" s="15" t="s">
        <v>67</v>
      </c>
      <c r="I4" s="15" t="s">
        <v>68</v>
      </c>
      <c r="J4" s="15" t="s">
        <v>69</v>
      </c>
      <c r="K4" s="15" t="s">
        <v>70</v>
      </c>
      <c r="L4" s="15" t="s">
        <v>71</v>
      </c>
      <c r="M4" s="15" t="s">
        <v>72</v>
      </c>
      <c r="N4" s="15" t="s">
        <v>73</v>
      </c>
      <c r="O4" s="15" t="s">
        <v>74</v>
      </c>
      <c r="P4" s="15" t="s">
        <v>75</v>
      </c>
      <c r="Q4" s="15" t="s">
        <v>76</v>
      </c>
      <c r="R4" s="15" t="s">
        <v>70</v>
      </c>
      <c r="S4" s="15" t="s">
        <v>71</v>
      </c>
      <c r="T4" s="15" t="s">
        <v>72</v>
      </c>
      <c r="U4" s="15" t="s">
        <v>53</v>
      </c>
      <c r="V4" s="15" t="s">
        <v>54</v>
      </c>
      <c r="W4" s="15" t="s">
        <v>77</v>
      </c>
      <c r="X4" s="15" t="s">
        <v>78</v>
      </c>
      <c r="Y4" s="15" t="s">
        <v>79</v>
      </c>
    </row>
    <row r="5" spans="1:25" ht="15" customHeight="1" x14ac:dyDescent="0.3">
      <c r="A5" s="19">
        <v>1</v>
      </c>
      <c r="B5" s="20">
        <v>0.40430067042935502</v>
      </c>
      <c r="C5" s="20">
        <v>0.409805170539353</v>
      </c>
      <c r="D5" s="20">
        <v>0.41153437197713499</v>
      </c>
      <c r="E5" s="17">
        <f t="shared" ref="E5:E17" si="0">AVERAGE(B5:D5)</f>
        <v>0.40854673764861432</v>
      </c>
      <c r="F5" s="17">
        <f>E5/Inputs!$B$19</f>
        <v>0.23810725313732903</v>
      </c>
      <c r="G5" s="20">
        <v>1.3231285317213799</v>
      </c>
      <c r="H5" s="20">
        <v>0.92577957686823298</v>
      </c>
      <c r="I5" s="20">
        <v>0.93673948191193102</v>
      </c>
      <c r="J5" s="17">
        <f t="shared" ref="J5:J17" si="1">AVERAGE(G5:I5)</f>
        <v>1.0618825301671813</v>
      </c>
      <c r="K5" s="17">
        <f t="shared" ref="K5:K17" si="2">STDEV(G5:I5)</f>
        <v>0.2263120298960791</v>
      </c>
      <c r="L5" s="17">
        <f>K5/SQRT(Inputs!$B$23)</f>
        <v>0.1306613113813519</v>
      </c>
      <c r="M5" s="17">
        <f>Inputs!$B$24*SQRT(Inputs!$B$25^2+L5^2)</f>
        <v>0.56223562287395723</v>
      </c>
      <c r="N5" s="20">
        <v>2.3131509610816599</v>
      </c>
      <c r="O5" s="20">
        <v>2.2065232695663899</v>
      </c>
      <c r="P5" s="20">
        <v>2.2212313301029498</v>
      </c>
      <c r="Q5" s="17">
        <f t="shared" ref="Q5:Q17" si="3">AVERAGE(N5:P5)</f>
        <v>2.2469685202503333</v>
      </c>
      <c r="R5" s="17">
        <f t="shared" ref="R5:R17" si="4">STDEV(N5:P5)</f>
        <v>5.7785537697427537E-2</v>
      </c>
      <c r="S5" s="17">
        <f>R5/SQRT(Inputs!$B$23)</f>
        <v>3.3362495744877055E-2</v>
      </c>
      <c r="T5" s="17">
        <f>Inputs!$B$24*SQRT(Inputs!$B$28^2+S5^2)</f>
        <v>0.14503370861343334</v>
      </c>
      <c r="U5" s="19" t="str">
        <f t="shared" ref="U5:U17" si="5">TEXT(E5,"0.00")</f>
        <v>0.41</v>
      </c>
      <c r="V5" s="19" t="str">
        <f t="shared" ref="V5:V17" si="6">TEXT(F5,"0.00")</f>
        <v>0.24</v>
      </c>
      <c r="W5" s="19" t="str">
        <f t="shared" ref="W5:W17" si="7">TEXT(J5,"0.0")&amp;" ± "&amp;TEXT(M5,"0.0")</f>
        <v>1.1 ± 0.6</v>
      </c>
      <c r="X5" s="19" t="str">
        <f t="shared" ref="X5:X17" si="8">TEXT(Q5,"0.00")&amp;" ± "&amp;TEXT(T5,"0.00")</f>
        <v>2.25 ± 0.15</v>
      </c>
      <c r="Y5" s="21">
        <f t="shared" ref="Y5:Y17" si="9">100*M5/J5</f>
        <v>52.947064002026636</v>
      </c>
    </row>
    <row r="6" spans="1:25" ht="15" customHeight="1" x14ac:dyDescent="0.3">
      <c r="A6" s="19">
        <v>2</v>
      </c>
      <c r="B6" s="20">
        <v>0.91874082116727496</v>
      </c>
      <c r="C6" s="20">
        <v>0.92421960697885097</v>
      </c>
      <c r="D6" s="20">
        <v>0.92571437086975406</v>
      </c>
      <c r="E6" s="17">
        <f t="shared" si="0"/>
        <v>0.92289159967195999</v>
      </c>
      <c r="F6" s="17">
        <f>E6/Inputs!$B$19</f>
        <v>0.53787526246362438</v>
      </c>
      <c r="G6" s="20">
        <v>5.0563290358649402</v>
      </c>
      <c r="H6" s="20">
        <v>4.9405011691754304</v>
      </c>
      <c r="I6" s="20">
        <v>4.9252091548108199</v>
      </c>
      <c r="J6" s="17">
        <f t="shared" si="1"/>
        <v>4.9740131199503965</v>
      </c>
      <c r="K6" s="17">
        <f t="shared" si="2"/>
        <v>7.1696540610196077E-2</v>
      </c>
      <c r="L6" s="17">
        <f>K6/SQRT(Inputs!$B$23)</f>
        <v>4.1394017021261643E-2</v>
      </c>
      <c r="M6" s="17">
        <f>Inputs!$B$24*SQRT(Inputs!$B$25^2+L6^2)</f>
        <v>0.17811845524248884</v>
      </c>
      <c r="N6" s="20">
        <v>2.4039924012262599</v>
      </c>
      <c r="O6" s="20">
        <v>2.2952466153305902</v>
      </c>
      <c r="P6" s="20">
        <v>2.27303294466856</v>
      </c>
      <c r="Q6" s="17">
        <f t="shared" si="3"/>
        <v>2.3240906537418033</v>
      </c>
      <c r="R6" s="17">
        <f t="shared" si="4"/>
        <v>7.0082656409219249E-2</v>
      </c>
      <c r="S6" s="17">
        <f>R6/SQRT(Inputs!$B$23)</f>
        <v>4.046224054338679E-2</v>
      </c>
      <c r="T6" s="17">
        <f>Inputs!$B$24*SQRT(Inputs!$B$28^2+S6^2)</f>
        <v>0.17532710366832177</v>
      </c>
      <c r="U6" s="19" t="str">
        <f t="shared" si="5"/>
        <v>0.92</v>
      </c>
      <c r="V6" s="19" t="str">
        <f t="shared" si="6"/>
        <v>0.54</v>
      </c>
      <c r="W6" s="19" t="str">
        <f t="shared" si="7"/>
        <v>5.0 ± 0.2</v>
      </c>
      <c r="X6" s="19" t="str">
        <f t="shared" si="8"/>
        <v>2.32 ± 0.18</v>
      </c>
      <c r="Y6" s="21">
        <f t="shared" si="9"/>
        <v>3.5809808085963621</v>
      </c>
    </row>
    <row r="7" spans="1:25" ht="15" customHeight="1" x14ac:dyDescent="0.3">
      <c r="A7" s="19">
        <v>3</v>
      </c>
      <c r="B7" s="20">
        <v>1.4358016854611</v>
      </c>
      <c r="C7" s="20">
        <v>1.4412443474796099</v>
      </c>
      <c r="D7" s="20">
        <v>1.4424742775264801</v>
      </c>
      <c r="E7" s="17">
        <f t="shared" si="0"/>
        <v>1.4398401034890631</v>
      </c>
      <c r="F7" s="17">
        <f>E7/Inputs!$B$19</f>
        <v>0.83916071383151625</v>
      </c>
      <c r="G7" s="20">
        <v>16.799202825712101</v>
      </c>
      <c r="H7" s="20">
        <v>16.503844450314801</v>
      </c>
      <c r="I7" s="20">
        <v>16.123580429800601</v>
      </c>
      <c r="J7" s="17">
        <f t="shared" si="1"/>
        <v>16.475542568609168</v>
      </c>
      <c r="K7" s="17">
        <f t="shared" si="2"/>
        <v>0.3386992070338497</v>
      </c>
      <c r="L7" s="17">
        <f>K7/SQRT(Inputs!$B$23)</f>
        <v>0.19554807835530594</v>
      </c>
      <c r="M7" s="17">
        <f>Inputs!$B$24*SQRT(Inputs!$B$25^2+L7^2)</f>
        <v>0.84144338116288142</v>
      </c>
      <c r="N7" s="20">
        <v>2.79043331625292</v>
      </c>
      <c r="O7" s="20">
        <v>2.6178888948124399</v>
      </c>
      <c r="P7" s="20">
        <v>2.58871884072015</v>
      </c>
      <c r="Q7" s="17">
        <f t="shared" si="3"/>
        <v>2.6656803505951703</v>
      </c>
      <c r="R7" s="17">
        <f t="shared" si="4"/>
        <v>0.10901926363831119</v>
      </c>
      <c r="S7" s="17">
        <f>R7/SQRT(Inputs!$B$23)</f>
        <v>6.2942301208433749E-2</v>
      </c>
      <c r="T7" s="17">
        <f>Inputs!$B$24*SQRT(Inputs!$B$28^2+S7^2)</f>
        <v>0.27162536482160515</v>
      </c>
      <c r="U7" s="19" t="str">
        <f t="shared" si="5"/>
        <v>1.44</v>
      </c>
      <c r="V7" s="19" t="str">
        <f t="shared" si="6"/>
        <v>0.84</v>
      </c>
      <c r="W7" s="19" t="str">
        <f t="shared" si="7"/>
        <v>16.5 ± 0.8</v>
      </c>
      <c r="X7" s="19" t="str">
        <f t="shared" si="8"/>
        <v>2.67 ± 0.27</v>
      </c>
      <c r="Y7" s="21">
        <f t="shared" si="9"/>
        <v>5.1072271377944327</v>
      </c>
    </row>
    <row r="8" spans="1:25" ht="15" customHeight="1" x14ac:dyDescent="0.3">
      <c r="A8" s="19">
        <v>4</v>
      </c>
      <c r="B8" s="20">
        <v>1.95158589458466</v>
      </c>
      <c r="C8" s="20">
        <v>1.95682511474689</v>
      </c>
      <c r="D8" s="20">
        <v>1.95884182498852</v>
      </c>
      <c r="E8" s="17">
        <f t="shared" si="0"/>
        <v>1.9557509447733565</v>
      </c>
      <c r="F8" s="17">
        <f>E8/Inputs!$B$19</f>
        <v>1.1398413996913224</v>
      </c>
      <c r="G8" s="20">
        <v>28.561709785143499</v>
      </c>
      <c r="H8" s="20">
        <v>28.613245659192401</v>
      </c>
      <c r="I8" s="20">
        <v>28.600658737818399</v>
      </c>
      <c r="J8" s="17">
        <f t="shared" si="1"/>
        <v>28.591871394051434</v>
      </c>
      <c r="K8" s="17">
        <f t="shared" si="2"/>
        <v>2.6868190046134534E-2</v>
      </c>
      <c r="L8" s="17">
        <f>K8/SQRT(Inputs!$B$23)</f>
        <v>1.5512356755773797E-2</v>
      </c>
      <c r="M8" s="17">
        <f>Inputs!$B$24*SQRT(Inputs!$B$25^2+L8^2)</f>
        <v>6.6749671120094653E-2</v>
      </c>
      <c r="N8" s="20">
        <v>3.94689409446555</v>
      </c>
      <c r="O8" s="20">
        <v>3.9193259088189998</v>
      </c>
      <c r="P8" s="20">
        <v>3.9171215208933501</v>
      </c>
      <c r="Q8" s="17">
        <f t="shared" si="3"/>
        <v>3.9277805080592998</v>
      </c>
      <c r="R8" s="17">
        <f t="shared" si="4"/>
        <v>1.6589506337247546E-2</v>
      </c>
      <c r="S8" s="17">
        <f>R8/SQRT(Inputs!$B$23)</f>
        <v>9.5779559495328733E-3</v>
      </c>
      <c r="T8" s="17">
        <f>Inputs!$B$24*SQRT(Inputs!$B$28^2+S8^2)</f>
        <v>4.6089383637416603E-2</v>
      </c>
      <c r="U8" s="19" t="str">
        <f t="shared" si="5"/>
        <v>1.96</v>
      </c>
      <c r="V8" s="19" t="str">
        <f t="shared" si="6"/>
        <v>1.14</v>
      </c>
      <c r="W8" s="19" t="str">
        <f t="shared" si="7"/>
        <v>28.6 ± 0.1</v>
      </c>
      <c r="X8" s="19" t="str">
        <f t="shared" si="8"/>
        <v>3.93 ± 0.05</v>
      </c>
      <c r="Y8" s="21">
        <f t="shared" si="9"/>
        <v>0.23345681085422756</v>
      </c>
    </row>
    <row r="9" spans="1:25" ht="15" customHeight="1" x14ac:dyDescent="0.3">
      <c r="A9" s="19">
        <v>5</v>
      </c>
      <c r="B9" s="20">
        <v>2.46918692088127</v>
      </c>
      <c r="C9" s="20">
        <v>2.4743598784544498</v>
      </c>
      <c r="D9" s="20">
        <v>2.4763238096804798</v>
      </c>
      <c r="E9" s="17">
        <f t="shared" si="0"/>
        <v>2.4732902030054</v>
      </c>
      <c r="F9" s="17">
        <f>E9/Inputs!$B$19</f>
        <v>1.4414711517182521</v>
      </c>
      <c r="G9" s="20">
        <v>32.306952281951901</v>
      </c>
      <c r="H9" s="20">
        <v>32.267737952012297</v>
      </c>
      <c r="I9" s="20">
        <v>32.218399773552299</v>
      </c>
      <c r="J9" s="17">
        <f t="shared" si="1"/>
        <v>32.26436333583883</v>
      </c>
      <c r="K9" s="17">
        <f t="shared" si="2"/>
        <v>4.4372600912094724E-2</v>
      </c>
      <c r="L9" s="17">
        <f>K9/SQRT(Inputs!$B$23)</f>
        <v>2.5618533081241724E-2</v>
      </c>
      <c r="M9" s="17">
        <f>Inputs!$B$24*SQRT(Inputs!$B$25^2+L9^2)</f>
        <v>0.11023654784858314</v>
      </c>
      <c r="N9" s="20">
        <v>4.7337310821315599</v>
      </c>
      <c r="O9" s="20">
        <v>4.6691255839513799</v>
      </c>
      <c r="P9" s="20">
        <v>4.65864134116085</v>
      </c>
      <c r="Q9" s="17">
        <f t="shared" si="3"/>
        <v>4.6871660024145969</v>
      </c>
      <c r="R9" s="17">
        <f t="shared" si="4"/>
        <v>4.0665831154767441E-2</v>
      </c>
      <c r="S9" s="17">
        <f>R9/SQRT(Inputs!$B$23)</f>
        <v>2.3478428564024854E-2</v>
      </c>
      <c r="T9" s="17">
        <f>Inputs!$B$24*SQRT(Inputs!$B$28^2+S9^2)</f>
        <v>0.10311272380933237</v>
      </c>
      <c r="U9" s="19" t="str">
        <f t="shared" si="5"/>
        <v>2.47</v>
      </c>
      <c r="V9" s="19" t="str">
        <f t="shared" si="6"/>
        <v>1.44</v>
      </c>
      <c r="W9" s="19" t="str">
        <f t="shared" si="7"/>
        <v>32.3 ± 0.1</v>
      </c>
      <c r="X9" s="19" t="str">
        <f t="shared" si="8"/>
        <v>4.69 ± 0.10</v>
      </c>
      <c r="Y9" s="21">
        <f t="shared" si="9"/>
        <v>0.34166658334811717</v>
      </c>
    </row>
    <row r="10" spans="1:25" ht="15" customHeight="1" x14ac:dyDescent="0.3">
      <c r="A10" s="19">
        <v>6</v>
      </c>
      <c r="B10" s="20">
        <v>2.9794756995638201</v>
      </c>
      <c r="C10" s="20">
        <v>2.9844302875345399</v>
      </c>
      <c r="D10" s="20">
        <v>2.98433153195815</v>
      </c>
      <c r="E10" s="17">
        <f t="shared" si="0"/>
        <v>2.9827458396855033</v>
      </c>
      <c r="F10" s="17">
        <f>E10/Inputs!$B$19</f>
        <v>1.7383896461441246</v>
      </c>
      <c r="G10" s="20">
        <v>34.330243093172697</v>
      </c>
      <c r="H10" s="20">
        <v>34.965198327266798</v>
      </c>
      <c r="I10" s="20">
        <v>34.117867606191901</v>
      </c>
      <c r="J10" s="17">
        <f t="shared" si="1"/>
        <v>34.47110300887713</v>
      </c>
      <c r="K10" s="17">
        <f t="shared" si="2"/>
        <v>0.44087807227001158</v>
      </c>
      <c r="L10" s="17">
        <f>K10/SQRT(Inputs!$B$23)</f>
        <v>0.25454107370489448</v>
      </c>
      <c r="M10" s="17">
        <f>Inputs!$B$24*SQRT(Inputs!$B$25^2+L10^2)</f>
        <v>1.0952902401521609</v>
      </c>
      <c r="N10" s="20">
        <v>4.94824246322748</v>
      </c>
      <c r="O10" s="20">
        <v>5.0273111027625497</v>
      </c>
      <c r="P10" s="20">
        <v>4.88494558683868</v>
      </c>
      <c r="Q10" s="17">
        <f t="shared" si="3"/>
        <v>4.9534997176095699</v>
      </c>
      <c r="R10" s="17">
        <f t="shared" si="4"/>
        <v>7.1328213729182244E-2</v>
      </c>
      <c r="S10" s="17">
        <f>R10/SQRT(Inputs!$B$23)</f>
        <v>4.1181363397358534E-2</v>
      </c>
      <c r="T10" s="17">
        <f>Inputs!$B$24*SQRT(Inputs!$B$28^2+S10^2)</f>
        <v>0.17840036270297302</v>
      </c>
      <c r="U10" s="19" t="str">
        <f t="shared" si="5"/>
        <v>2.98</v>
      </c>
      <c r="V10" s="19" t="str">
        <f t="shared" si="6"/>
        <v>1.74</v>
      </c>
      <c r="W10" s="19" t="str">
        <f t="shared" si="7"/>
        <v>34.5 ± 1.1</v>
      </c>
      <c r="X10" s="19" t="str">
        <f t="shared" si="8"/>
        <v>4.95 ± 0.18</v>
      </c>
      <c r="Y10" s="21">
        <f t="shared" si="9"/>
        <v>3.1774157034374491</v>
      </c>
    </row>
    <row r="11" spans="1:25" ht="15" customHeight="1" x14ac:dyDescent="0.3">
      <c r="A11" s="19">
        <v>7</v>
      </c>
      <c r="B11" s="20">
        <v>3.4979775824149399</v>
      </c>
      <c r="C11" s="20">
        <v>3.5018797266483301</v>
      </c>
      <c r="D11" s="20">
        <v>3.5034016567689399</v>
      </c>
      <c r="E11" s="17">
        <f t="shared" si="0"/>
        <v>3.50108632194407</v>
      </c>
      <c r="F11" s="17">
        <f>E11/Inputs!$B$19</f>
        <v>2.0404863637211923</v>
      </c>
      <c r="G11" s="20">
        <v>37.341548587481199</v>
      </c>
      <c r="H11" s="20">
        <v>37.106134266853303</v>
      </c>
      <c r="I11" s="20">
        <v>37.032047788831903</v>
      </c>
      <c r="J11" s="17">
        <f t="shared" si="1"/>
        <v>37.159910214388802</v>
      </c>
      <c r="K11" s="17">
        <f t="shared" si="2"/>
        <v>0.16160623592901219</v>
      </c>
      <c r="L11" s="17">
        <f>K11/SQRT(Inputs!$B$23)</f>
        <v>9.3303403816337366E-2</v>
      </c>
      <c r="M11" s="17">
        <f>Inputs!$B$24*SQRT(Inputs!$B$25^2+L11^2)</f>
        <v>0.40148454662169969</v>
      </c>
      <c r="N11" s="20">
        <v>5.0719791580428897</v>
      </c>
      <c r="O11" s="20">
        <v>4.9878610119973299</v>
      </c>
      <c r="P11" s="20">
        <v>4.9784019427028303</v>
      </c>
      <c r="Q11" s="17">
        <f t="shared" si="3"/>
        <v>5.01274737091435</v>
      </c>
      <c r="R11" s="17">
        <f t="shared" si="4"/>
        <v>5.1513803517212922E-2</v>
      </c>
      <c r="S11" s="17">
        <f>R11/SQRT(Inputs!$B$23)</f>
        <v>2.9741508327644373E-2</v>
      </c>
      <c r="T11" s="17">
        <f>Inputs!$B$24*SQRT(Inputs!$B$28^2+S11^2)</f>
        <v>0.12962999810682641</v>
      </c>
      <c r="U11" s="19" t="str">
        <f t="shared" si="5"/>
        <v>3.50</v>
      </c>
      <c r="V11" s="19" t="str">
        <f t="shared" si="6"/>
        <v>2.04</v>
      </c>
      <c r="W11" s="19" t="str">
        <f t="shared" si="7"/>
        <v>37.2 ± 0.4</v>
      </c>
      <c r="X11" s="19" t="str">
        <f t="shared" si="8"/>
        <v>5.01 ± 0.13</v>
      </c>
      <c r="Y11" s="21">
        <f t="shared" si="9"/>
        <v>1.0804238877472843</v>
      </c>
    </row>
    <row r="12" spans="1:25" ht="15" customHeight="1" x14ac:dyDescent="0.3">
      <c r="A12" s="19">
        <v>8</v>
      </c>
      <c r="B12" s="20">
        <v>4.0153332034746798</v>
      </c>
      <c r="C12" s="20">
        <v>4.0185256736808403</v>
      </c>
      <c r="D12" s="20">
        <v>4.0208247845702703</v>
      </c>
      <c r="E12" s="17">
        <f t="shared" si="0"/>
        <v>4.0182278872419301</v>
      </c>
      <c r="F12" s="17">
        <f>E12/Inputs!$B$19</f>
        <v>2.3418843342567421</v>
      </c>
      <c r="G12" s="20">
        <v>40.889037888844797</v>
      </c>
      <c r="H12" s="20">
        <v>40.905134101443799</v>
      </c>
      <c r="I12" s="20">
        <v>40.5652225006951</v>
      </c>
      <c r="J12" s="17">
        <f t="shared" si="1"/>
        <v>40.786464830327894</v>
      </c>
      <c r="K12" s="17">
        <f t="shared" si="2"/>
        <v>0.19177043132615385</v>
      </c>
      <c r="L12" s="17">
        <f>K12/SQRT(Inputs!$B$23)</f>
        <v>0.11071871014876557</v>
      </c>
      <c r="M12" s="17">
        <f>Inputs!$B$24*SQRT(Inputs!$B$25^2+L12^2)</f>
        <v>0.47642260977013823</v>
      </c>
      <c r="N12" s="20">
        <v>5.3777432876572</v>
      </c>
      <c r="O12" s="20">
        <v>5.3346784646939502</v>
      </c>
      <c r="P12" s="20">
        <v>5.2863147770770604</v>
      </c>
      <c r="Q12" s="17">
        <f t="shared" si="3"/>
        <v>5.3329121764760705</v>
      </c>
      <c r="R12" s="17">
        <f t="shared" si="4"/>
        <v>4.5739840044288958E-2</v>
      </c>
      <c r="S12" s="17">
        <f>R12/SQRT(Inputs!$B$23)</f>
        <v>2.6407908962260657E-2</v>
      </c>
      <c r="T12" s="17">
        <f>Inputs!$B$24*SQRT(Inputs!$B$28^2+S12^2)</f>
        <v>0.11549092406670883</v>
      </c>
      <c r="U12" s="19" t="str">
        <f t="shared" si="5"/>
        <v>4.02</v>
      </c>
      <c r="V12" s="19" t="str">
        <f t="shared" si="6"/>
        <v>2.34</v>
      </c>
      <c r="W12" s="19" t="str">
        <f t="shared" si="7"/>
        <v>40.8 ± 0.5</v>
      </c>
      <c r="X12" s="19" t="str">
        <f t="shared" si="8"/>
        <v>5.33 ± 0.12</v>
      </c>
      <c r="Y12" s="21">
        <f t="shared" si="9"/>
        <v>1.1680899821841904</v>
      </c>
    </row>
    <row r="13" spans="1:25" ht="15" customHeight="1" x14ac:dyDescent="0.3">
      <c r="A13" s="19">
        <v>9</v>
      </c>
      <c r="B13" s="20">
        <v>4.5327409696579002</v>
      </c>
      <c r="C13" s="20">
        <v>4.5365173827277303</v>
      </c>
      <c r="D13" s="20">
        <v>4.5378818429311103</v>
      </c>
      <c r="E13" s="17">
        <f t="shared" si="0"/>
        <v>4.5357133984389142</v>
      </c>
      <c r="F13" s="17">
        <f>E13/Inputs!$B$19</f>
        <v>2.6434827616940892</v>
      </c>
      <c r="G13" s="20">
        <v>43.428703992207801</v>
      </c>
      <c r="H13" s="20">
        <v>43.184603508843303</v>
      </c>
      <c r="I13" s="20">
        <v>43.234278121948201</v>
      </c>
      <c r="J13" s="17">
        <f t="shared" si="1"/>
        <v>43.28252854099977</v>
      </c>
      <c r="K13" s="17">
        <f t="shared" si="2"/>
        <v>0.12900518865024116</v>
      </c>
      <c r="L13" s="17">
        <f>K13/SQRT(Inputs!$B$23)</f>
        <v>7.4481180394075197E-2</v>
      </c>
      <c r="M13" s="17">
        <f>Inputs!$B$24*SQRT(Inputs!$B$25^2+L13^2)</f>
        <v>0.32049251923570554</v>
      </c>
      <c r="N13" s="20">
        <v>5.6104129887185303</v>
      </c>
      <c r="O13" s="20">
        <v>5.54650527724041</v>
      </c>
      <c r="P13" s="20">
        <v>5.5728985758189902</v>
      </c>
      <c r="Q13" s="17">
        <f t="shared" si="3"/>
        <v>5.5766056139259765</v>
      </c>
      <c r="R13" s="17">
        <f t="shared" si="4"/>
        <v>3.2114723963279794E-2</v>
      </c>
      <c r="S13" s="17">
        <f>R13/SQRT(Inputs!$B$23)</f>
        <v>1.8541444525150115E-2</v>
      </c>
      <c r="T13" s="17">
        <f>Inputs!$B$24*SQRT(Inputs!$B$28^2+S13^2)</f>
        <v>8.2408145959731033E-2</v>
      </c>
      <c r="U13" s="19" t="str">
        <f t="shared" si="5"/>
        <v>4.54</v>
      </c>
      <c r="V13" s="19" t="str">
        <f t="shared" si="6"/>
        <v>2.64</v>
      </c>
      <c r="W13" s="19" t="str">
        <f t="shared" si="7"/>
        <v>43.3 ± 0.3</v>
      </c>
      <c r="X13" s="19" t="str">
        <f t="shared" si="8"/>
        <v>5.58 ± 0.08</v>
      </c>
      <c r="Y13" s="21">
        <f t="shared" si="9"/>
        <v>0.74046625749259554</v>
      </c>
    </row>
    <row r="14" spans="1:25" ht="15" customHeight="1" x14ac:dyDescent="0.3">
      <c r="A14" s="19">
        <v>10</v>
      </c>
      <c r="B14" s="20">
        <v>5.0428018840149997</v>
      </c>
      <c r="C14" s="20">
        <v>5.0455650239520597</v>
      </c>
      <c r="D14" s="20">
        <v>5.0479128758112601</v>
      </c>
      <c r="E14" s="17">
        <f t="shared" si="0"/>
        <v>5.0454265945927732</v>
      </c>
      <c r="F14" s="17">
        <f>E14/Inputs!$B$19</f>
        <v>2.9405513656990232</v>
      </c>
      <c r="G14" s="20">
        <v>45.717801040013597</v>
      </c>
      <c r="H14" s="20">
        <v>45.318411187065998</v>
      </c>
      <c r="I14" s="20">
        <v>45.173508122762001</v>
      </c>
      <c r="J14" s="17">
        <f t="shared" si="1"/>
        <v>45.403240116613865</v>
      </c>
      <c r="K14" s="17">
        <f t="shared" si="2"/>
        <v>0.28188766452035646</v>
      </c>
      <c r="L14" s="17">
        <f>K14/SQRT(Inputs!$B$23)</f>
        <v>0.16274791899206273</v>
      </c>
      <c r="M14" s="17">
        <f>Inputs!$B$24*SQRT(Inputs!$B$25^2+L14^2)</f>
        <v>0.70030429542284589</v>
      </c>
      <c r="N14" s="20">
        <v>5.4190782305266296</v>
      </c>
      <c r="O14" s="20">
        <v>5.3599263727809197</v>
      </c>
      <c r="P14" s="20">
        <v>5.3662208468775896</v>
      </c>
      <c r="Q14" s="17">
        <f t="shared" si="3"/>
        <v>5.381741816728379</v>
      </c>
      <c r="R14" s="17">
        <f t="shared" si="4"/>
        <v>3.2487088935822285E-2</v>
      </c>
      <c r="S14" s="17">
        <f>R14/SQRT(Inputs!$B$23)</f>
        <v>1.8756429542284309E-2</v>
      </c>
      <c r="T14" s="17">
        <f>Inputs!$B$24*SQRT(Inputs!$B$28^2+S14^2)</f>
        <v>8.3304088978280913E-2</v>
      </c>
      <c r="U14" s="19" t="str">
        <f t="shared" si="5"/>
        <v>5.05</v>
      </c>
      <c r="V14" s="19" t="str">
        <f t="shared" si="6"/>
        <v>2.94</v>
      </c>
      <c r="W14" s="19" t="str">
        <f t="shared" si="7"/>
        <v>45.4 ± 0.7</v>
      </c>
      <c r="X14" s="19" t="str">
        <f t="shared" si="8"/>
        <v>5.38 ± 0.08</v>
      </c>
      <c r="Y14" s="21">
        <f t="shared" si="9"/>
        <v>1.5424103954347346</v>
      </c>
    </row>
    <row r="15" spans="1:25" ht="15" customHeight="1" x14ac:dyDescent="0.3">
      <c r="A15" s="19">
        <v>11</v>
      </c>
      <c r="B15" s="20">
        <v>5.5582807604471798</v>
      </c>
      <c r="C15" s="20">
        <v>5.5595699016253199</v>
      </c>
      <c r="D15" s="20">
        <v>5.56127594682905</v>
      </c>
      <c r="E15" s="17">
        <f t="shared" si="0"/>
        <v>5.559708869633849</v>
      </c>
      <c r="F15" s="17">
        <f>E15/Inputs!$B$19</f>
        <v>3.2402828983800362</v>
      </c>
      <c r="G15" s="20">
        <v>47.523877131144197</v>
      </c>
      <c r="H15" s="20">
        <v>47.343003737131802</v>
      </c>
      <c r="I15" s="20">
        <v>47.0144951799181</v>
      </c>
      <c r="J15" s="17">
        <f t="shared" si="1"/>
        <v>47.293792016064707</v>
      </c>
      <c r="K15" s="17">
        <f t="shared" si="2"/>
        <v>0.2582321400920421</v>
      </c>
      <c r="L15" s="17">
        <f>K15/SQRT(Inputs!$B$23)</f>
        <v>0.14909039559555368</v>
      </c>
      <c r="M15" s="17">
        <f>Inputs!$B$24*SQRT(Inputs!$B$25^2+L15^2)</f>
        <v>0.64153597224766745</v>
      </c>
      <c r="N15" s="20">
        <v>5.1108944120790101</v>
      </c>
      <c r="O15" s="20">
        <v>5.0924865329815701</v>
      </c>
      <c r="P15" s="20">
        <v>5.0421742660955999</v>
      </c>
      <c r="Q15" s="17">
        <f t="shared" si="3"/>
        <v>5.0818517370520597</v>
      </c>
      <c r="R15" s="17">
        <f t="shared" si="4"/>
        <v>3.5573006329828835E-2</v>
      </c>
      <c r="S15" s="17">
        <f>R15/SQRT(Inputs!$B$23)</f>
        <v>2.0538084780410939E-2</v>
      </c>
      <c r="T15" s="17">
        <f>Inputs!$B$24*SQRT(Inputs!$B$28^2+S15^2)</f>
        <v>9.0751582061747979E-2</v>
      </c>
      <c r="U15" s="19" t="str">
        <f t="shared" si="5"/>
        <v>5.56</v>
      </c>
      <c r="V15" s="19" t="str">
        <f t="shared" si="6"/>
        <v>3.24</v>
      </c>
      <c r="W15" s="19" t="str">
        <f t="shared" si="7"/>
        <v>47.3 ± 0.6</v>
      </c>
      <c r="X15" s="19" t="str">
        <f t="shared" si="8"/>
        <v>5.08 ± 0.09</v>
      </c>
      <c r="Y15" s="21">
        <f t="shared" si="9"/>
        <v>1.3564908731144907</v>
      </c>
    </row>
    <row r="16" spans="1:25" ht="15" customHeight="1" x14ac:dyDescent="0.3">
      <c r="A16" s="19">
        <v>12</v>
      </c>
      <c r="B16" s="20">
        <v>6.0718135666847202</v>
      </c>
      <c r="C16" s="20">
        <v>6.0761442255973801</v>
      </c>
      <c r="D16" s="20">
        <v>6.0774892083803804</v>
      </c>
      <c r="E16" s="17">
        <f t="shared" si="0"/>
        <v>6.0751490002208266</v>
      </c>
      <c r="F16" s="17">
        <f>E16/Inputs!$B$19</f>
        <v>3.5406892468854303</v>
      </c>
      <c r="G16" s="20">
        <v>49.801105422973599</v>
      </c>
      <c r="H16" s="20">
        <v>49.7258336321513</v>
      </c>
      <c r="I16" s="20">
        <v>49.617264188130697</v>
      </c>
      <c r="J16" s="17">
        <f t="shared" si="1"/>
        <v>49.71473441441853</v>
      </c>
      <c r="K16" s="17">
        <f t="shared" si="2"/>
        <v>9.2421828497656747E-2</v>
      </c>
      <c r="L16" s="17">
        <f>K16/SQRT(Inputs!$B$23)</f>
        <v>5.3359767562119555E-2</v>
      </c>
      <c r="M16" s="17">
        <f>Inputs!$B$24*SQRT(Inputs!$B$25^2+L16^2)</f>
        <v>0.22960707981980044</v>
      </c>
      <c r="N16" s="20">
        <v>4.7872050658875196</v>
      </c>
      <c r="O16" s="20">
        <v>4.7321653469245</v>
      </c>
      <c r="P16" s="20">
        <v>4.7318122958825901</v>
      </c>
      <c r="Q16" s="17">
        <f t="shared" si="3"/>
        <v>4.7503942362315366</v>
      </c>
      <c r="R16" s="17">
        <f t="shared" si="4"/>
        <v>3.1879602353713551E-2</v>
      </c>
      <c r="S16" s="17">
        <f>R16/SQRT(Inputs!$B$23)</f>
        <v>1.8405697000574747E-2</v>
      </c>
      <c r="T16" s="17">
        <f>Inputs!$B$24*SQRT(Inputs!$B$28^2+S16^2)</f>
        <v>8.1842756522540666E-2</v>
      </c>
      <c r="U16" s="19" t="str">
        <f t="shared" si="5"/>
        <v>6.08</v>
      </c>
      <c r="V16" s="19" t="str">
        <f t="shared" si="6"/>
        <v>3.54</v>
      </c>
      <c r="W16" s="19" t="str">
        <f t="shared" si="7"/>
        <v>49.7 ± 0.2</v>
      </c>
      <c r="X16" s="19" t="str">
        <f t="shared" si="8"/>
        <v>4.75 ± 0.08</v>
      </c>
      <c r="Y16" s="21">
        <f t="shared" si="9"/>
        <v>0.46184915302133961</v>
      </c>
    </row>
    <row r="17" spans="1:25" ht="15" customHeight="1" x14ac:dyDescent="0.3">
      <c r="A17" s="19">
        <v>13</v>
      </c>
      <c r="B17" s="20">
        <v>6.5843671353657998</v>
      </c>
      <c r="C17" s="20">
        <v>6.5903257226944003</v>
      </c>
      <c r="D17" s="20">
        <v>6.5906031060218799</v>
      </c>
      <c r="E17" s="17">
        <f t="shared" si="0"/>
        <v>6.5884319880273603</v>
      </c>
      <c r="F17" s="17">
        <f>E17/Inputs!$B$19</f>
        <v>3.8398383797659177</v>
      </c>
      <c r="G17" s="20">
        <v>52.701350479125999</v>
      </c>
      <c r="H17" s="20">
        <v>52.632885538737</v>
      </c>
      <c r="I17" s="20">
        <v>52.131865183512403</v>
      </c>
      <c r="J17" s="17">
        <f t="shared" si="1"/>
        <v>52.48870040045847</v>
      </c>
      <c r="K17" s="17">
        <f t="shared" si="2"/>
        <v>0.31091862449092028</v>
      </c>
      <c r="L17" s="17">
        <f>K17/SQRT(Inputs!$B$23)</f>
        <v>0.17950895154590099</v>
      </c>
      <c r="M17" s="17">
        <f>Inputs!$B$24*SQRT(Inputs!$B$25^2+L17^2)</f>
        <v>0.77242701850201201</v>
      </c>
      <c r="N17" s="20">
        <v>4.4813509383839403</v>
      </c>
      <c r="O17" s="20">
        <v>4.4593332457435997</v>
      </c>
      <c r="P17" s="20">
        <v>4.4115630335739802</v>
      </c>
      <c r="Q17" s="17">
        <f t="shared" si="3"/>
        <v>4.4507490725671737</v>
      </c>
      <c r="R17" s="17">
        <f t="shared" si="4"/>
        <v>3.5677078583919553E-2</v>
      </c>
      <c r="S17" s="17">
        <f>R17/SQRT(Inputs!$B$23)</f>
        <v>2.0598170924325386E-2</v>
      </c>
      <c r="T17" s="17">
        <f>Inputs!$B$24*SQRT(Inputs!$B$28^2+S17^2)</f>
        <v>9.1003381933049604E-2</v>
      </c>
      <c r="U17" s="19" t="str">
        <f t="shared" si="5"/>
        <v>6.59</v>
      </c>
      <c r="V17" s="19" t="str">
        <f t="shared" si="6"/>
        <v>3.84</v>
      </c>
      <c r="W17" s="19" t="str">
        <f t="shared" si="7"/>
        <v>52.5 ± 0.8</v>
      </c>
      <c r="X17" s="19" t="str">
        <f t="shared" si="8"/>
        <v>4.45 ± 0.09</v>
      </c>
      <c r="Y17" s="21">
        <f t="shared" si="9"/>
        <v>1.4716062935619285</v>
      </c>
    </row>
  </sheetData>
  <mergeCells count="4">
    <mergeCell ref="B3:F3"/>
    <mergeCell ref="G3:M3"/>
    <mergeCell ref="N3:T3"/>
    <mergeCell ref="U3:X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9"/>
  <sheetViews>
    <sheetView topLeftCell="A2" zoomScaleNormal="100" workbookViewId="0">
      <selection activeCell="A2" sqref="A2"/>
    </sheetView>
  </sheetViews>
  <sheetFormatPr defaultColWidth="8.6640625" defaultRowHeight="14.4" x14ac:dyDescent="0.3"/>
  <cols>
    <col min="1" max="1" width="30" customWidth="1"/>
    <col min="2" max="3" width="12" customWidth="1"/>
    <col min="4" max="4" width="16" customWidth="1"/>
    <col min="5" max="16" width="12" customWidth="1"/>
  </cols>
  <sheetData>
    <row r="1" spans="1:16" ht="51.75" customHeight="1" x14ac:dyDescent="0.3">
      <c r="A1" s="22" t="s">
        <v>80</v>
      </c>
    </row>
    <row r="2" spans="1:16" ht="45.75" customHeight="1" x14ac:dyDescent="0.3">
      <c r="A2" s="23" t="s">
        <v>81</v>
      </c>
    </row>
    <row r="4" spans="1:16" ht="15" customHeight="1" x14ac:dyDescent="0.3">
      <c r="A4" s="24" t="s">
        <v>82</v>
      </c>
      <c r="B4" s="25">
        <v>0.4</v>
      </c>
      <c r="C4" s="19" t="s">
        <v>28</v>
      </c>
      <c r="D4" s="24" t="s">
        <v>83</v>
      </c>
    </row>
    <row r="5" spans="1:16" ht="15" customHeight="1" x14ac:dyDescent="0.3">
      <c r="A5" s="24" t="s">
        <v>84</v>
      </c>
      <c r="B5" s="25">
        <v>18</v>
      </c>
      <c r="C5" s="19" t="s">
        <v>43</v>
      </c>
      <c r="D5" s="24" t="s">
        <v>83</v>
      </c>
    </row>
    <row r="6" spans="1:16" ht="23.25" customHeight="1" x14ac:dyDescent="0.3">
      <c r="A6" s="24" t="s">
        <v>85</v>
      </c>
      <c r="B6" s="25">
        <v>19</v>
      </c>
      <c r="C6" s="19" t="s">
        <v>13</v>
      </c>
      <c r="D6" s="24" t="s">
        <v>86</v>
      </c>
    </row>
    <row r="7" spans="1:16" ht="23.25" customHeight="1" x14ac:dyDescent="0.3">
      <c r="A7" s="24" t="s">
        <v>87</v>
      </c>
      <c r="B7" s="18">
        <f>Inputs!B13</f>
        <v>998.40830000000005</v>
      </c>
      <c r="C7" s="19" t="s">
        <v>24</v>
      </c>
      <c r="D7" s="24" t="s">
        <v>88</v>
      </c>
    </row>
    <row r="8" spans="1:16" ht="15" customHeight="1" x14ac:dyDescent="0.3">
      <c r="A8" s="24" t="s">
        <v>89</v>
      </c>
      <c r="B8" s="18">
        <f>B7</f>
        <v>998.40830000000005</v>
      </c>
      <c r="C8" s="19" t="s">
        <v>24</v>
      </c>
      <c r="D8" s="24" t="s">
        <v>90</v>
      </c>
    </row>
    <row r="9" spans="1:16" ht="23.25" customHeight="1" x14ac:dyDescent="0.3">
      <c r="A9" s="24" t="s">
        <v>91</v>
      </c>
      <c r="B9" s="26">
        <f>SQRT(Inputs!$B$5*(Inputs!$B$4/(B8*Inputs!$B$5))^(1/3))</f>
        <v>1.7159729358788793</v>
      </c>
      <c r="C9" s="19" t="s">
        <v>30</v>
      </c>
      <c r="D9" s="24" t="s">
        <v>92</v>
      </c>
    </row>
    <row r="12" spans="1:16" ht="34.5" customHeight="1" x14ac:dyDescent="0.3">
      <c r="A12" s="15" t="s">
        <v>93</v>
      </c>
      <c r="B12" s="15" t="s">
        <v>53</v>
      </c>
      <c r="C12" s="15" t="s">
        <v>94</v>
      </c>
      <c r="D12" s="15" t="s">
        <v>95</v>
      </c>
      <c r="E12" s="15" t="s">
        <v>96</v>
      </c>
      <c r="F12" s="15" t="s">
        <v>97</v>
      </c>
      <c r="G12" s="15" t="s">
        <v>98</v>
      </c>
      <c r="H12" s="15" t="s">
        <v>99</v>
      </c>
      <c r="I12" s="15" t="s">
        <v>54</v>
      </c>
      <c r="J12" s="15" t="s">
        <v>100</v>
      </c>
      <c r="K12" s="15" t="s">
        <v>101</v>
      </c>
      <c r="L12" s="15" t="s">
        <v>102</v>
      </c>
      <c r="M12" s="15" t="s">
        <v>103</v>
      </c>
      <c r="N12" s="15" t="s">
        <v>104</v>
      </c>
      <c r="O12" s="15" t="s">
        <v>105</v>
      </c>
      <c r="P12" s="15" t="s">
        <v>106</v>
      </c>
    </row>
    <row r="13" spans="1:16" ht="15" customHeight="1" x14ac:dyDescent="0.3">
      <c r="A13" s="19">
        <v>1</v>
      </c>
      <c r="B13" s="20">
        <v>2.04091973337</v>
      </c>
      <c r="C13" s="27">
        <v>1.585</v>
      </c>
      <c r="D13" s="27">
        <v>1.365</v>
      </c>
      <c r="E13" s="17">
        <f>(C13+D13)/2</f>
        <v>1.4750000000000001</v>
      </c>
      <c r="F13" s="17">
        <f>E13/$B$4</f>
        <v>3.6875</v>
      </c>
      <c r="G13" s="17">
        <f>$B$4*D13+0.5*$B$4*(C13-D13)</f>
        <v>0.59000000000000008</v>
      </c>
      <c r="H13" s="17">
        <f>G13/COS(RADIANS($B$5))</f>
        <v>0.62036271230057771</v>
      </c>
      <c r="I13" s="18">
        <f>B13/$B$9</f>
        <v>1.1893659222105917</v>
      </c>
      <c r="J13" s="20">
        <v>3.5990939067699999</v>
      </c>
      <c r="K13" s="20">
        <v>1.6701216457700001</v>
      </c>
      <c r="L13" s="20">
        <v>1.2091534796400001</v>
      </c>
      <c r="M13" s="28">
        <f>100*(J13/F13-1)</f>
        <v>-2.3974533757288197</v>
      </c>
      <c r="N13" s="28">
        <f t="shared" ref="N13:O16" si="0">100*(K13/C13-1)</f>
        <v>5.3704508372239834</v>
      </c>
      <c r="O13" s="28">
        <f t="shared" si="0"/>
        <v>-11.417327498901098</v>
      </c>
      <c r="P13" s="17">
        <f>J13*$B$4^2/COS(RADIANS($B$5))</f>
        <v>0.60548980551276477</v>
      </c>
    </row>
    <row r="14" spans="1:16" ht="15" customHeight="1" x14ac:dyDescent="0.3">
      <c r="A14" s="19">
        <v>2</v>
      </c>
      <c r="B14" s="20">
        <v>3.06884338363</v>
      </c>
      <c r="C14" s="27">
        <v>1.42</v>
      </c>
      <c r="D14" s="27">
        <v>1.0649999999999999</v>
      </c>
      <c r="E14" s="17">
        <f>(C14+D14)/2</f>
        <v>1.2424999999999999</v>
      </c>
      <c r="F14" s="17">
        <f>E14/$B$4</f>
        <v>3.1062499999999997</v>
      </c>
      <c r="G14" s="17">
        <f>$B$4*D14+0.5*$B$4*(C14-D14)</f>
        <v>0.497</v>
      </c>
      <c r="H14" s="17">
        <f>G14/COS(RADIANS($B$5))</f>
        <v>0.52257672544641887</v>
      </c>
      <c r="I14" s="18">
        <f>B14/$B$9</f>
        <v>1.7883984761439222</v>
      </c>
      <c r="J14" s="20">
        <v>2.9120015614799999</v>
      </c>
      <c r="K14" s="20">
        <v>1.3457958379699999</v>
      </c>
      <c r="L14" s="20">
        <v>0.98380541121200005</v>
      </c>
      <c r="M14" s="28">
        <f>100*(J14/F14-1)</f>
        <v>-6.2534708577867137</v>
      </c>
      <c r="N14" s="28">
        <f t="shared" si="0"/>
        <v>-5.2256452133802807</v>
      </c>
      <c r="O14" s="28">
        <f t="shared" si="0"/>
        <v>-7.6239050505164219</v>
      </c>
      <c r="P14" s="17">
        <f>J14*$B$4^2/COS(RADIANS($B$5))</f>
        <v>0.48989754221105097</v>
      </c>
    </row>
    <row r="15" spans="1:16" ht="15" customHeight="1" x14ac:dyDescent="0.3">
      <c r="A15" s="19">
        <v>3</v>
      </c>
      <c r="B15" s="20">
        <v>4.1041320298499997</v>
      </c>
      <c r="C15" s="27">
        <v>1.175</v>
      </c>
      <c r="D15" s="27">
        <v>0.84499999999999997</v>
      </c>
      <c r="E15" s="17">
        <f>(C15+D15)/2</f>
        <v>1.01</v>
      </c>
      <c r="F15" s="17">
        <f>E15/$B$4</f>
        <v>2.5249999999999999</v>
      </c>
      <c r="G15" s="17">
        <f>$B$4*D15+0.5*$B$4*(C15-D15)</f>
        <v>0.40400000000000003</v>
      </c>
      <c r="H15" s="17">
        <f>G15/COS(RADIANS($B$5))</f>
        <v>0.42479073859226002</v>
      </c>
      <c r="I15" s="18">
        <f>B15/$B$9</f>
        <v>2.3917230534571128</v>
      </c>
      <c r="J15" s="20">
        <v>2.4473979142000002</v>
      </c>
      <c r="K15" s="20">
        <v>1.1563014628199999</v>
      </c>
      <c r="L15" s="20">
        <v>0.801616868541</v>
      </c>
      <c r="M15" s="28">
        <f>100*(J15/F15-1)</f>
        <v>-3.0733499326732527</v>
      </c>
      <c r="N15" s="28">
        <f t="shared" si="0"/>
        <v>-1.5913648663829938</v>
      </c>
      <c r="O15" s="28">
        <f t="shared" si="0"/>
        <v>-5.1340983975147854</v>
      </c>
      <c r="P15" s="17">
        <f>J15*$B$4^2/COS(RADIANS($B$5))</f>
        <v>0.41173543271373259</v>
      </c>
    </row>
    <row r="16" spans="1:16" ht="15" customHeight="1" x14ac:dyDescent="0.3">
      <c r="A16" s="19">
        <v>4</v>
      </c>
      <c r="B16" s="20">
        <v>5.1322832001599998</v>
      </c>
      <c r="C16" s="27">
        <v>1.05</v>
      </c>
      <c r="D16" s="27">
        <v>0.73</v>
      </c>
      <c r="E16" s="17">
        <f>(C16+D16)/2</f>
        <v>0.89</v>
      </c>
      <c r="F16" s="17">
        <f>E16/$B$4</f>
        <v>2.2250000000000001</v>
      </c>
      <c r="G16" s="17">
        <f>$B$4*D16+0.5*$B$4*(C16-D16)</f>
        <v>0.35599999999999998</v>
      </c>
      <c r="H16" s="17">
        <f>G16/COS(RADIANS($B$5))</f>
        <v>0.37432055182882312</v>
      </c>
      <c r="I16" s="18">
        <f>B16/$B$9</f>
        <v>2.9908881969233216</v>
      </c>
      <c r="J16" s="20">
        <v>2.23759775035</v>
      </c>
      <c r="K16" s="20">
        <v>1.0996556136</v>
      </c>
      <c r="L16" s="20">
        <v>0.69042258668300005</v>
      </c>
      <c r="M16" s="28">
        <f>100*(J16/F16-1)</f>
        <v>0.56619102696628953</v>
      </c>
      <c r="N16" s="28">
        <f t="shared" si="0"/>
        <v>4.7291060571428511</v>
      </c>
      <c r="O16" s="28">
        <f t="shared" si="0"/>
        <v>-5.42156346808218</v>
      </c>
      <c r="P16" s="17">
        <f>J16*$B$4^2/COS(RADIANS($B$5))</f>
        <v>0.37643992120536873</v>
      </c>
    </row>
    <row r="18" spans="1:13" ht="37.5" customHeight="1" x14ac:dyDescent="0.3">
      <c r="A18" s="29" t="s">
        <v>107</v>
      </c>
      <c r="M18" s="21">
        <f>AVERAGE(ABS(M13),ABS(M14),ABS(M15),ABS(M16))</f>
        <v>3.0726162982887688</v>
      </c>
    </row>
    <row r="19" spans="1:13" ht="34.5" customHeight="1" x14ac:dyDescent="0.3">
      <c r="A19" s="23" t="s">
        <v>108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7"/>
  <sheetViews>
    <sheetView zoomScaleNormal="100" workbookViewId="0">
      <selection activeCell="F8" sqref="F8"/>
    </sheetView>
  </sheetViews>
  <sheetFormatPr defaultColWidth="8.6640625" defaultRowHeight="14.4" x14ac:dyDescent="0.3"/>
  <cols>
    <col min="1" max="1" width="52" customWidth="1"/>
    <col min="2" max="3" width="16" customWidth="1"/>
    <col min="4" max="4" width="34" customWidth="1"/>
    <col min="5" max="5" width="16" customWidth="1"/>
    <col min="6" max="6" width="18" customWidth="1"/>
  </cols>
  <sheetData>
    <row r="1" spans="1:6" ht="26.25" customHeight="1" x14ac:dyDescent="0.3">
      <c r="A1" s="22" t="s">
        <v>109</v>
      </c>
    </row>
    <row r="3" spans="1:6" ht="15" customHeight="1" x14ac:dyDescent="0.3">
      <c r="A3" s="30" t="s">
        <v>110</v>
      </c>
    </row>
    <row r="4" spans="1:6" ht="15" customHeight="1" x14ac:dyDescent="0.3">
      <c r="A4" s="24" t="s">
        <v>111</v>
      </c>
      <c r="B4" s="18">
        <f>Inputs!B4/Inputs!B5</f>
        <v>27</v>
      </c>
      <c r="C4" s="19" t="s">
        <v>112</v>
      </c>
      <c r="D4" s="24" t="s">
        <v>90</v>
      </c>
    </row>
    <row r="5" spans="1:6" ht="15" customHeight="1" x14ac:dyDescent="0.3">
      <c r="A5" s="24" t="s">
        <v>113</v>
      </c>
      <c r="B5" s="25">
        <v>11.99</v>
      </c>
      <c r="C5" s="19" t="s">
        <v>112</v>
      </c>
      <c r="D5" s="24" t="s">
        <v>114</v>
      </c>
    </row>
    <row r="6" spans="1:6" ht="15" customHeight="1" x14ac:dyDescent="0.3">
      <c r="A6" s="24" t="s">
        <v>115</v>
      </c>
      <c r="B6" s="18">
        <f>B4-B5</f>
        <v>15.01</v>
      </c>
      <c r="C6" s="19" t="s">
        <v>112</v>
      </c>
      <c r="D6" s="24" t="s">
        <v>90</v>
      </c>
    </row>
    <row r="8" spans="1:6" ht="23.25" customHeight="1" x14ac:dyDescent="0.3">
      <c r="A8" s="30" t="s">
        <v>116</v>
      </c>
    </row>
    <row r="9" spans="1:6" ht="15" customHeight="1" x14ac:dyDescent="0.3">
      <c r="A9" s="24" t="s">
        <v>117</v>
      </c>
      <c r="B9" s="25">
        <v>-37.792526515324901</v>
      </c>
      <c r="C9" s="19" t="s">
        <v>38</v>
      </c>
      <c r="D9" s="24" t="s">
        <v>118</v>
      </c>
    </row>
    <row r="10" spans="1:6" ht="15" customHeight="1" x14ac:dyDescent="0.3">
      <c r="A10" s="24" t="s">
        <v>119</v>
      </c>
      <c r="B10" s="25">
        <v>36.952456998825099</v>
      </c>
      <c r="C10" s="19" t="s">
        <v>38</v>
      </c>
      <c r="D10" s="24" t="s">
        <v>118</v>
      </c>
    </row>
    <row r="11" spans="1:6" ht="15" customHeight="1" x14ac:dyDescent="0.3">
      <c r="A11" s="24" t="s">
        <v>120</v>
      </c>
      <c r="B11" s="17">
        <f>2.2+DEGREES(ATAN((-B9-(-B10))/Inputs!B27))</f>
        <v>4.7324159706674562</v>
      </c>
      <c r="C11" s="19" t="s">
        <v>43</v>
      </c>
      <c r="D11" s="24" t="s">
        <v>121</v>
      </c>
    </row>
    <row r="13" spans="1:6" ht="23.25" customHeight="1" x14ac:dyDescent="0.3">
      <c r="A13" s="30" t="s">
        <v>122</v>
      </c>
    </row>
    <row r="14" spans="1:6" ht="23.25" customHeight="1" x14ac:dyDescent="0.3">
      <c r="A14" s="15" t="s">
        <v>123</v>
      </c>
      <c r="B14" s="15" t="s">
        <v>124</v>
      </c>
      <c r="C14" s="15" t="s">
        <v>125</v>
      </c>
      <c r="D14" s="15" t="s">
        <v>126</v>
      </c>
      <c r="E14" s="15" t="s">
        <v>127</v>
      </c>
      <c r="F14" s="15" t="s">
        <v>128</v>
      </c>
    </row>
    <row r="15" spans="1:6" ht="15" customHeight="1" x14ac:dyDescent="0.3">
      <c r="A15" s="24" t="s">
        <v>129</v>
      </c>
      <c r="B15" s="20">
        <v>2.46856312480238</v>
      </c>
      <c r="C15" s="20">
        <v>1.8443452746749699E-2</v>
      </c>
      <c r="D15" s="25">
        <v>3600</v>
      </c>
      <c r="E15" s="21">
        <f>B15/C15</f>
        <v>133.84495618573462</v>
      </c>
      <c r="F15" s="17">
        <f>C15/SQRT(D15)</f>
        <v>3.0739087911249498E-4</v>
      </c>
    </row>
    <row r="16" spans="1:6" ht="15" customHeight="1" x14ac:dyDescent="0.3">
      <c r="A16" s="24" t="s">
        <v>130</v>
      </c>
      <c r="B16" s="20">
        <v>32.285270266003103</v>
      </c>
      <c r="C16" s="20">
        <v>0.62911109440672197</v>
      </c>
      <c r="D16" s="25">
        <v>3600</v>
      </c>
      <c r="E16" s="21">
        <f>B16/C16</f>
        <v>51.318869676665713</v>
      </c>
      <c r="F16" s="17">
        <f>C16/SQRT(D16)</f>
        <v>1.0485184906778699E-2</v>
      </c>
    </row>
    <row r="17" spans="1:6" ht="15" customHeight="1" x14ac:dyDescent="0.3">
      <c r="A17" s="24" t="s">
        <v>131</v>
      </c>
      <c r="B17" s="20">
        <v>37.792526515324901</v>
      </c>
      <c r="C17" s="20">
        <v>0.78157593489634403</v>
      </c>
      <c r="D17" s="25">
        <v>3600</v>
      </c>
      <c r="E17" s="21">
        <f>B17/C17</f>
        <v>48.354260703199756</v>
      </c>
      <c r="F17" s="17">
        <f>C17/SQRT(D17)</f>
        <v>1.3026265581605734E-2</v>
      </c>
    </row>
    <row r="18" spans="1:6" ht="15" customHeight="1" x14ac:dyDescent="0.3">
      <c r="A18" s="24" t="s">
        <v>132</v>
      </c>
      <c r="B18" s="20">
        <v>36.952456998825099</v>
      </c>
      <c r="C18" s="20">
        <v>0.75662488556647001</v>
      </c>
      <c r="D18" s="25">
        <v>3600</v>
      </c>
      <c r="E18" s="21">
        <f>B18/C18</f>
        <v>48.838542987070177</v>
      </c>
      <c r="F18" s="17">
        <f>C18/SQRT(D18)</f>
        <v>1.2610414759441167E-2</v>
      </c>
    </row>
    <row r="19" spans="1:6" ht="15" customHeight="1" x14ac:dyDescent="0.3">
      <c r="A19" s="23" t="s">
        <v>133</v>
      </c>
    </row>
    <row r="20" spans="1:6" ht="15" customHeight="1" x14ac:dyDescent="0.3">
      <c r="A20" s="24" t="s">
        <v>134</v>
      </c>
      <c r="B20" s="18">
        <f>F16/'Table F.1'!K9</f>
        <v>0.23629863229226963</v>
      </c>
      <c r="C20" s="19"/>
      <c r="D20" s="24" t="s">
        <v>90</v>
      </c>
    </row>
    <row r="22" spans="1:6" ht="15" customHeight="1" x14ac:dyDescent="0.3">
      <c r="A22" s="30" t="s">
        <v>135</v>
      </c>
    </row>
    <row r="23" spans="1:6" ht="15" customHeight="1" x14ac:dyDescent="0.3">
      <c r="A23" s="24" t="s">
        <v>136</v>
      </c>
      <c r="B23" s="31">
        <f>0.0025*750</f>
        <v>1.875</v>
      </c>
      <c r="C23" s="19" t="s">
        <v>38</v>
      </c>
      <c r="D23" s="24" t="s">
        <v>39</v>
      </c>
    </row>
    <row r="24" spans="1:6" ht="15" customHeight="1" x14ac:dyDescent="0.3">
      <c r="A24" s="24" t="s">
        <v>137</v>
      </c>
      <c r="B24" s="17">
        <f>DEGREES(SQRT(2)*B23/Inputs!B27)</f>
        <v>8.989844872870513E-2</v>
      </c>
      <c r="C24" s="19" t="s">
        <v>43</v>
      </c>
      <c r="D24" s="24" t="s">
        <v>90</v>
      </c>
    </row>
    <row r="25" spans="1:6" ht="15" customHeight="1" x14ac:dyDescent="0.3">
      <c r="A25" s="24" t="s">
        <v>138</v>
      </c>
      <c r="B25" s="17">
        <f>B24/2</f>
        <v>4.4949224364352565E-2</v>
      </c>
      <c r="C25" s="19" t="s">
        <v>43</v>
      </c>
      <c r="D25" s="24" t="s">
        <v>90</v>
      </c>
    </row>
    <row r="26" spans="1:6" ht="15" customHeight="1" x14ac:dyDescent="0.3">
      <c r="A26" s="24" t="s">
        <v>139</v>
      </c>
      <c r="B26" s="31">
        <f>0.001*750</f>
        <v>0.75</v>
      </c>
      <c r="C26" s="19" t="s">
        <v>38</v>
      </c>
      <c r="D26" s="24" t="s">
        <v>39</v>
      </c>
    </row>
    <row r="27" spans="1:6" ht="15" customHeight="1" x14ac:dyDescent="0.3">
      <c r="A27" s="24" t="s">
        <v>140</v>
      </c>
      <c r="B27" s="17">
        <f>DEGREES(SQRT(2)*B26/Inputs!B27)</f>
        <v>3.5959379491482049E-2</v>
      </c>
      <c r="C27" s="19" t="s">
        <v>43</v>
      </c>
      <c r="D27" s="24" t="s">
        <v>90</v>
      </c>
    </row>
    <row r="28" spans="1:6" ht="15" customHeight="1" x14ac:dyDescent="0.3">
      <c r="A28" s="24" t="s">
        <v>141</v>
      </c>
      <c r="B28" s="17">
        <f>B27/2</f>
        <v>1.7979689745741025E-2</v>
      </c>
      <c r="C28" s="19" t="s">
        <v>43</v>
      </c>
      <c r="D28" s="24" t="s">
        <v>90</v>
      </c>
    </row>
    <row r="30" spans="1:6" ht="15" customHeight="1" x14ac:dyDescent="0.3">
      <c r="A30" s="30" t="s">
        <v>142</v>
      </c>
    </row>
    <row r="31" spans="1:6" ht="15" customHeight="1" x14ac:dyDescent="0.3">
      <c r="A31" s="24" t="s">
        <v>143</v>
      </c>
      <c r="B31" s="25">
        <v>57.5234756851196</v>
      </c>
      <c r="C31" s="19" t="s">
        <v>7</v>
      </c>
      <c r="D31" s="24" t="s">
        <v>144</v>
      </c>
    </row>
    <row r="32" spans="1:6" ht="15" customHeight="1" x14ac:dyDescent="0.3">
      <c r="A32" s="24" t="s">
        <v>145</v>
      </c>
      <c r="B32" s="21">
        <f>100*B31/490.5</f>
        <v>11.727517978617655</v>
      </c>
      <c r="C32" s="19" t="s">
        <v>146</v>
      </c>
      <c r="D32" s="24" t="s">
        <v>90</v>
      </c>
    </row>
    <row r="34" spans="1:5" ht="23.25" customHeight="1" x14ac:dyDescent="0.3">
      <c r="A34" s="30" t="s">
        <v>147</v>
      </c>
    </row>
    <row r="35" spans="1:5" ht="15" customHeight="1" x14ac:dyDescent="0.3">
      <c r="A35" s="24" t="s">
        <v>148</v>
      </c>
      <c r="B35" s="32">
        <f>Inputs!C11</f>
        <v>1.1149999999999999E-6</v>
      </c>
      <c r="C35" s="19" t="s">
        <v>149</v>
      </c>
      <c r="D35" s="24" t="s">
        <v>88</v>
      </c>
    </row>
    <row r="36" spans="1:5" ht="15" customHeight="1" x14ac:dyDescent="0.3">
      <c r="A36" s="24" t="s">
        <v>150</v>
      </c>
      <c r="B36" s="33">
        <f>0.41*1.6/B35</f>
        <v>588340.80717488797</v>
      </c>
      <c r="C36" s="19"/>
      <c r="D36" s="24" t="s">
        <v>90</v>
      </c>
    </row>
    <row r="37" spans="1:5" ht="15" customHeight="1" x14ac:dyDescent="0.3">
      <c r="A37" s="24" t="s">
        <v>151</v>
      </c>
      <c r="B37" s="33">
        <f>6.59*1.6/B35</f>
        <v>9456502.2421524674</v>
      </c>
      <c r="C37" s="19"/>
      <c r="D37" s="24" t="s">
        <v>90</v>
      </c>
    </row>
    <row r="38" spans="1:5" ht="15" customHeight="1" x14ac:dyDescent="0.3">
      <c r="A38" s="24" t="s">
        <v>152</v>
      </c>
      <c r="B38" s="31">
        <f>500000*B35/0.41</f>
        <v>1.3597560975609757</v>
      </c>
      <c r="C38" s="19" t="s">
        <v>28</v>
      </c>
      <c r="D38" s="24" t="s">
        <v>90</v>
      </c>
    </row>
    <row r="39" spans="1:5" ht="15" customHeight="1" x14ac:dyDescent="0.3">
      <c r="A39" s="24" t="s">
        <v>153</v>
      </c>
      <c r="B39" s="31">
        <f>500000*B35/2</f>
        <v>0.27875</v>
      </c>
      <c r="C39" s="19" t="s">
        <v>28</v>
      </c>
      <c r="D39" s="24" t="s">
        <v>90</v>
      </c>
    </row>
    <row r="40" spans="1:5" ht="15" customHeight="1" x14ac:dyDescent="0.3">
      <c r="A40" s="24" t="s">
        <v>154</v>
      </c>
      <c r="B40" s="31">
        <f>500000*B35/6.5</f>
        <v>8.5769230769230764E-2</v>
      </c>
      <c r="C40" s="19" t="s">
        <v>28</v>
      </c>
      <c r="D40" s="24" t="s">
        <v>90</v>
      </c>
    </row>
    <row r="42" spans="1:5" ht="23.25" customHeight="1" x14ac:dyDescent="0.3">
      <c r="A42" s="30" t="s">
        <v>155</v>
      </c>
    </row>
    <row r="43" spans="1:5" ht="23.25" customHeight="1" x14ac:dyDescent="0.3">
      <c r="A43" s="15" t="s">
        <v>156</v>
      </c>
      <c r="B43" s="15" t="s">
        <v>157</v>
      </c>
      <c r="C43" s="15" t="s">
        <v>158</v>
      </c>
      <c r="D43" s="15" t="s">
        <v>159</v>
      </c>
      <c r="E43" s="15" t="s">
        <v>160</v>
      </c>
    </row>
    <row r="44" spans="1:5" ht="15" customHeight="1" x14ac:dyDescent="0.3">
      <c r="A44" s="19" t="s">
        <v>21</v>
      </c>
      <c r="B44" s="20">
        <v>5.5766056139259801</v>
      </c>
      <c r="C44" s="20">
        <v>43.282528540999799</v>
      </c>
      <c r="D44" s="18">
        <f>Inputs!$B$4*TAN(RADIANS(B44))</f>
        <v>25.861546372280387</v>
      </c>
      <c r="E44" s="21">
        <f>100*D44/C44</f>
        <v>59.750544258944537</v>
      </c>
    </row>
    <row r="45" spans="1:5" ht="15" customHeight="1" x14ac:dyDescent="0.3">
      <c r="A45" s="19" t="s">
        <v>161</v>
      </c>
      <c r="B45" s="20">
        <v>7.4695272850165297</v>
      </c>
      <c r="C45" s="20">
        <v>47.712061424255403</v>
      </c>
      <c r="D45" s="18">
        <f>Inputs!$B$4*TAN(RADIANS(B45))</f>
        <v>34.72749452856457</v>
      </c>
      <c r="E45" s="21">
        <f>100*D45/C45</f>
        <v>72.785567196034293</v>
      </c>
    </row>
    <row r="46" spans="1:5" ht="15" customHeight="1" x14ac:dyDescent="0.3">
      <c r="A46" s="19" t="s">
        <v>162</v>
      </c>
      <c r="B46" s="20">
        <v>9.8767975789686204</v>
      </c>
      <c r="C46" s="20">
        <v>57.5234756851196</v>
      </c>
      <c r="D46" s="18">
        <f>Inputs!$B$4*TAN(RADIANS(B46))</f>
        <v>46.116694402526534</v>
      </c>
      <c r="E46" s="21">
        <f>100*D46/C46</f>
        <v>80.170215469883686</v>
      </c>
    </row>
    <row r="47" spans="1:5" ht="23.25" customHeight="1" x14ac:dyDescent="0.3">
      <c r="A47" s="23" t="s">
        <v>163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2"/>
  <sheetViews>
    <sheetView tabSelected="1" topLeftCell="A15" zoomScaleNormal="100" workbookViewId="0">
      <selection activeCell="N24" sqref="N24"/>
    </sheetView>
  </sheetViews>
  <sheetFormatPr defaultColWidth="8.6640625" defaultRowHeight="14.4" x14ac:dyDescent="0.3"/>
  <cols>
    <col min="1" max="12" width="12" customWidth="1"/>
  </cols>
  <sheetData>
    <row r="1" spans="1:12" ht="128.25" customHeight="1" x14ac:dyDescent="0.3">
      <c r="A1" s="22" t="s">
        <v>164</v>
      </c>
    </row>
    <row r="2" spans="1:12" ht="147" customHeight="1" x14ac:dyDescent="0.3">
      <c r="A2" s="23" t="s">
        <v>165</v>
      </c>
    </row>
    <row r="4" spans="1:12" ht="23.25" customHeight="1" x14ac:dyDescent="0.3">
      <c r="A4" s="15" t="s">
        <v>156</v>
      </c>
      <c r="B4" s="15" t="s">
        <v>54</v>
      </c>
      <c r="C4" s="15" t="s">
        <v>166</v>
      </c>
      <c r="D4" s="15" t="s">
        <v>167</v>
      </c>
      <c r="E4" s="15" t="s">
        <v>168</v>
      </c>
      <c r="F4" s="15" t="s">
        <v>169</v>
      </c>
      <c r="G4" s="15" t="s">
        <v>170</v>
      </c>
      <c r="H4" s="15" t="s">
        <v>171</v>
      </c>
      <c r="I4" s="15" t="s">
        <v>172</v>
      </c>
      <c r="J4" s="15" t="s">
        <v>173</v>
      </c>
      <c r="K4" s="15" t="s">
        <v>174</v>
      </c>
      <c r="L4" s="15" t="s">
        <v>175</v>
      </c>
    </row>
    <row r="5" spans="1:12" ht="15" customHeight="1" x14ac:dyDescent="0.3">
      <c r="A5" s="19" t="s">
        <v>21</v>
      </c>
      <c r="B5" s="37">
        <v>1.7383900000000001</v>
      </c>
      <c r="C5" s="38">
        <v>0.13014300000000001</v>
      </c>
      <c r="D5" s="37">
        <v>4.9535</v>
      </c>
      <c r="E5" s="38">
        <v>0.11745660793</v>
      </c>
      <c r="F5" s="39">
        <v>1.314875309219</v>
      </c>
      <c r="G5" s="37">
        <v>4.4938498938259999</v>
      </c>
      <c r="H5" s="17">
        <f t="shared" ref="H5:H12" si="0">F5*E5</f>
        <v>0.1544407936717736</v>
      </c>
      <c r="I5" s="28">
        <f t="shared" ref="I5:I12" si="1">100*(E5-C5)/C5</f>
        <v>-9.7480402864541382</v>
      </c>
      <c r="J5" s="28">
        <f t="shared" ref="J5:J12" si="2">100*(H5-C5)/C5</f>
        <v>18.670073435969353</v>
      </c>
      <c r="K5" s="28">
        <f t="shared" ref="K5:K12" si="3">100*(G5-D5)/D5</f>
        <v>-9.2792996098516216</v>
      </c>
      <c r="L5" s="34">
        <f t="shared" ref="L5:L12" si="4">G5-D5</f>
        <v>-0.45965010617400015</v>
      </c>
    </row>
    <row r="6" spans="1:12" ht="15" customHeight="1" x14ac:dyDescent="0.3">
      <c r="A6" s="19" t="s">
        <v>21</v>
      </c>
      <c r="B6" s="35">
        <v>2.04047</v>
      </c>
      <c r="C6" s="20">
        <v>0.140295</v>
      </c>
      <c r="D6" s="35">
        <v>5.0127470000000001</v>
      </c>
      <c r="E6" s="20">
        <v>0.13421336972699999</v>
      </c>
      <c r="F6" s="27">
        <v>1.21061074126</v>
      </c>
      <c r="G6" s="35">
        <v>4.9326164161000001</v>
      </c>
      <c r="H6" s="17">
        <f t="shared" si="0"/>
        <v>0.16248014701220589</v>
      </c>
      <c r="I6" s="28">
        <f t="shared" si="1"/>
        <v>-4.3348873965572654</v>
      </c>
      <c r="J6" s="28">
        <f t="shared" si="2"/>
        <v>15.813212881575174</v>
      </c>
      <c r="K6" s="28">
        <f t="shared" si="3"/>
        <v>-1.5985363693799017</v>
      </c>
      <c r="L6" s="34">
        <f t="shared" si="4"/>
        <v>-8.0130583899999941E-2</v>
      </c>
    </row>
    <row r="7" spans="1:12" ht="15" customHeight="1" x14ac:dyDescent="0.3">
      <c r="A7" s="19" t="s">
        <v>21</v>
      </c>
      <c r="B7" s="35">
        <v>2.3418649999999999</v>
      </c>
      <c r="C7" s="20">
        <v>0.15398700000000001</v>
      </c>
      <c r="D7" s="35">
        <v>5.3329120000000003</v>
      </c>
      <c r="E7" s="20">
        <v>0.14723647116999999</v>
      </c>
      <c r="F7" s="27">
        <v>1.1254270504999999</v>
      </c>
      <c r="G7" s="35">
        <v>5.1424359584900001</v>
      </c>
      <c r="H7" s="17">
        <f t="shared" si="0"/>
        <v>0.16570390747488137</v>
      </c>
      <c r="I7" s="28">
        <f t="shared" si="1"/>
        <v>-4.3838303428211587</v>
      </c>
      <c r="J7" s="28">
        <f t="shared" si="2"/>
        <v>7.6090237973863726</v>
      </c>
      <c r="K7" s="28">
        <f t="shared" si="3"/>
        <v>-3.5717079432400194</v>
      </c>
      <c r="L7" s="34">
        <f t="shared" si="4"/>
        <v>-0.19047604151000019</v>
      </c>
    </row>
    <row r="8" spans="1:12" ht="15" customHeight="1" x14ac:dyDescent="0.3">
      <c r="A8" s="19" t="s">
        <v>21</v>
      </c>
      <c r="B8" s="35">
        <v>2.6434609999999998</v>
      </c>
      <c r="C8" s="20">
        <v>0.16341</v>
      </c>
      <c r="D8" s="35">
        <v>5.576606</v>
      </c>
      <c r="E8" s="20">
        <v>0.15667909736899999</v>
      </c>
      <c r="F8" s="27">
        <v>1.0673395264600001</v>
      </c>
      <c r="G8" s="35">
        <v>5.0956672747400003</v>
      </c>
      <c r="H8" s="17">
        <f t="shared" si="0"/>
        <v>0.16722979359200868</v>
      </c>
      <c r="I8" s="28">
        <f t="shared" si="1"/>
        <v>-4.1190273734777634</v>
      </c>
      <c r="J8" s="28">
        <f t="shared" si="2"/>
        <v>2.3375519197164678</v>
      </c>
      <c r="K8" s="28">
        <f t="shared" si="3"/>
        <v>-8.6242191982004766</v>
      </c>
      <c r="L8" s="34">
        <f t="shared" si="4"/>
        <v>-0.4809387252599997</v>
      </c>
    </row>
    <row r="9" spans="1:12" ht="15" customHeight="1" x14ac:dyDescent="0.3">
      <c r="A9" s="19" t="s">
        <v>21</v>
      </c>
      <c r="B9" s="35">
        <v>2.940528</v>
      </c>
      <c r="C9" s="20">
        <v>0.17141700000000001</v>
      </c>
      <c r="D9" s="35">
        <v>5.381742</v>
      </c>
      <c r="E9" s="20">
        <v>0.16418851090799999</v>
      </c>
      <c r="F9" s="27">
        <v>1.03135143079</v>
      </c>
      <c r="G9" s="35">
        <v>4.8788055755600004</v>
      </c>
      <c r="H9" s="17">
        <f t="shared" si="0"/>
        <v>0.16933605564424531</v>
      </c>
      <c r="I9" s="28">
        <f t="shared" si="1"/>
        <v>-4.2169032779712765</v>
      </c>
      <c r="J9" s="28">
        <f t="shared" si="2"/>
        <v>-1.2139661502387187</v>
      </c>
      <c r="K9" s="28">
        <f t="shared" si="3"/>
        <v>-9.3452347667353735</v>
      </c>
      <c r="L9" s="34">
        <f t="shared" si="4"/>
        <v>-0.50293642443999964</v>
      </c>
    </row>
    <row r="10" spans="1:12" ht="15" customHeight="1" x14ac:dyDescent="0.3">
      <c r="A10" s="19" t="s">
        <v>21</v>
      </c>
      <c r="B10" s="35">
        <v>3.2402570000000002</v>
      </c>
      <c r="C10" s="20">
        <v>0.17855499999999999</v>
      </c>
      <c r="D10" s="35">
        <v>5.0818519999999996</v>
      </c>
      <c r="E10" s="20">
        <v>0.17160617102799999</v>
      </c>
      <c r="F10" s="27">
        <v>1.0094868823100001</v>
      </c>
      <c r="G10" s="35">
        <v>4.5768882081699997</v>
      </c>
      <c r="H10" s="17">
        <f t="shared" si="0"/>
        <v>0.17323417857621237</v>
      </c>
      <c r="I10" s="28">
        <f t="shared" si="1"/>
        <v>-3.8917022609280045</v>
      </c>
      <c r="J10" s="28">
        <f t="shared" si="2"/>
        <v>-2.9799341512629831</v>
      </c>
      <c r="K10" s="28">
        <f t="shared" si="3"/>
        <v>-9.9366095634032607</v>
      </c>
      <c r="L10" s="34">
        <f t="shared" si="4"/>
        <v>-0.50496379182999984</v>
      </c>
    </row>
    <row r="11" spans="1:12" ht="15" customHeight="1" x14ac:dyDescent="0.3">
      <c r="A11" s="19" t="s">
        <v>21</v>
      </c>
      <c r="B11" s="35">
        <v>3.5406610000000001</v>
      </c>
      <c r="C11" s="20">
        <v>0.187695</v>
      </c>
      <c r="D11" s="35">
        <v>4.750394</v>
      </c>
      <c r="E11" s="20">
        <v>0.17990711135500001</v>
      </c>
      <c r="F11" s="27">
        <v>0.99669460968099999</v>
      </c>
      <c r="G11" s="35">
        <v>4.2489988210199998</v>
      </c>
      <c r="H11" s="17">
        <f t="shared" si="0"/>
        <v>0.17931244813080793</v>
      </c>
      <c r="I11" s="28">
        <f t="shared" si="1"/>
        <v>-4.1492254162337785</v>
      </c>
      <c r="J11" s="28">
        <f t="shared" si="2"/>
        <v>-4.4660496386116133</v>
      </c>
      <c r="K11" s="28">
        <f t="shared" si="3"/>
        <v>-10.554812484606545</v>
      </c>
      <c r="L11" s="34">
        <f t="shared" si="4"/>
        <v>-0.50139517898000019</v>
      </c>
    </row>
    <row r="12" spans="1:12" ht="15" customHeight="1" x14ac:dyDescent="0.3">
      <c r="A12" s="19" t="s">
        <v>21</v>
      </c>
      <c r="B12" s="35">
        <v>3.839807</v>
      </c>
      <c r="C12" s="20">
        <v>0.19816800000000001</v>
      </c>
      <c r="D12" s="35">
        <v>4.4507490000000001</v>
      </c>
      <c r="E12" s="20">
        <v>0.18956211964799999</v>
      </c>
      <c r="F12" s="27">
        <v>0.98939076234500001</v>
      </c>
      <c r="G12" s="35">
        <v>3.92841704272</v>
      </c>
      <c r="H12" s="17">
        <f t="shared" si="0"/>
        <v>0.18755101007026881</v>
      </c>
      <c r="I12" s="28">
        <f t="shared" si="1"/>
        <v>-4.3427194864963177</v>
      </c>
      <c r="J12" s="28">
        <f t="shared" si="2"/>
        <v>-5.3575703088950792</v>
      </c>
      <c r="K12" s="28">
        <f t="shared" si="3"/>
        <v>-11.735821482631351</v>
      </c>
      <c r="L12" s="34">
        <f t="shared" si="4"/>
        <v>-0.52233195728000004</v>
      </c>
    </row>
    <row r="14" spans="1:12" ht="23.25" customHeight="1" x14ac:dyDescent="0.3">
      <c r="A14" s="15" t="s">
        <v>156</v>
      </c>
      <c r="B14" s="15" t="s">
        <v>54</v>
      </c>
      <c r="C14" s="15" t="s">
        <v>166</v>
      </c>
      <c r="D14" s="15" t="s">
        <v>167</v>
      </c>
      <c r="E14" s="15" t="s">
        <v>168</v>
      </c>
      <c r="F14" s="15" t="s">
        <v>169</v>
      </c>
      <c r="G14" s="15" t="s">
        <v>170</v>
      </c>
      <c r="H14" s="15" t="s">
        <v>171</v>
      </c>
      <c r="I14" s="15" t="s">
        <v>172</v>
      </c>
      <c r="J14" s="15" t="s">
        <v>173</v>
      </c>
      <c r="K14" s="15" t="s">
        <v>174</v>
      </c>
      <c r="L14" s="15" t="s">
        <v>175</v>
      </c>
    </row>
    <row r="15" spans="1:12" ht="15" customHeight="1" x14ac:dyDescent="0.3">
      <c r="A15" s="19" t="s">
        <v>161</v>
      </c>
      <c r="B15" s="35">
        <v>1.129095</v>
      </c>
      <c r="C15" s="20">
        <v>0.11748400000000001</v>
      </c>
      <c r="D15" s="35">
        <v>5.6985599999999996</v>
      </c>
      <c r="E15" s="20">
        <v>0.104777979563</v>
      </c>
      <c r="F15" s="27">
        <v>1.02612551535</v>
      </c>
      <c r="G15" s="35">
        <v>4.9905403958400001</v>
      </c>
      <c r="H15" s="17">
        <f t="shared" ref="H15:H24" si="5">F15*E15</f>
        <v>0.10751535827641515</v>
      </c>
      <c r="I15" s="28">
        <f t="shared" ref="I15:I24" si="6">100*(E15-C15)/C15</f>
        <v>-10.815107109904329</v>
      </c>
      <c r="J15" s="28">
        <f t="shared" ref="J15:J24" si="7">100*(H15-C15)/C15</f>
        <v>-8.4851058217160276</v>
      </c>
      <c r="K15" s="28">
        <f t="shared" ref="K15:K24" si="8">100*(G15-D15)/D15</f>
        <v>-12.424535394204845</v>
      </c>
      <c r="L15" s="34">
        <f t="shared" ref="L15:L24" si="9">G15-D15</f>
        <v>-0.70801960415999954</v>
      </c>
    </row>
    <row r="16" spans="1:12" ht="15" customHeight="1" x14ac:dyDescent="0.3">
      <c r="A16" s="19" t="s">
        <v>161</v>
      </c>
      <c r="B16" s="35">
        <v>1.430139</v>
      </c>
      <c r="C16" s="20">
        <v>0.14291499999999999</v>
      </c>
      <c r="D16" s="35">
        <v>6.4532090000000002</v>
      </c>
      <c r="E16" s="20">
        <v>0.124806304028</v>
      </c>
      <c r="F16" s="27">
        <v>1.26409497384</v>
      </c>
      <c r="G16" s="35">
        <v>5.7151559509299998</v>
      </c>
      <c r="H16" s="17">
        <f t="shared" si="5"/>
        <v>0.15776702162534176</v>
      </c>
      <c r="I16" s="28">
        <f t="shared" si="6"/>
        <v>-12.670955443445397</v>
      </c>
      <c r="J16" s="28">
        <f t="shared" si="7"/>
        <v>10.392206294190094</v>
      </c>
      <c r="K16" s="28">
        <f t="shared" si="8"/>
        <v>-11.436992805749826</v>
      </c>
      <c r="L16" s="34">
        <f t="shared" si="9"/>
        <v>-0.73805304907000036</v>
      </c>
    </row>
    <row r="17" spans="1:12" ht="15" customHeight="1" x14ac:dyDescent="0.3">
      <c r="A17" s="19" t="s">
        <v>161</v>
      </c>
      <c r="B17" s="35">
        <v>1.728127</v>
      </c>
      <c r="C17" s="20">
        <v>0.15628400000000001</v>
      </c>
      <c r="D17" s="35">
        <v>6.7843900000000001</v>
      </c>
      <c r="E17" s="20">
        <v>0.144061719137</v>
      </c>
      <c r="F17" s="27">
        <v>1.2411697580100001</v>
      </c>
      <c r="G17" s="35">
        <v>6.4077116276400004</v>
      </c>
      <c r="H17" s="17">
        <f t="shared" si="5"/>
        <v>0.17880504907977487</v>
      </c>
      <c r="I17" s="28">
        <f t="shared" si="6"/>
        <v>-7.820557998899444</v>
      </c>
      <c r="J17" s="28">
        <f t="shared" si="7"/>
        <v>14.410335722002809</v>
      </c>
      <c r="K17" s="28">
        <f t="shared" si="8"/>
        <v>-5.5521332405713677</v>
      </c>
      <c r="L17" s="34">
        <f t="shared" si="9"/>
        <v>-0.37667837235999979</v>
      </c>
    </row>
    <row r="18" spans="1:12" ht="15" customHeight="1" x14ac:dyDescent="0.3">
      <c r="A18" s="19" t="s">
        <v>161</v>
      </c>
      <c r="B18" s="35">
        <v>2.0299580000000002</v>
      </c>
      <c r="C18" s="20">
        <v>0.173486</v>
      </c>
      <c r="D18" s="35">
        <v>7.2633530000000004</v>
      </c>
      <c r="E18" s="20">
        <v>0.15781438886599999</v>
      </c>
      <c r="F18" s="27">
        <v>1.1657452588499999</v>
      </c>
      <c r="G18" s="35">
        <v>6.7754366560000001</v>
      </c>
      <c r="H18" s="17">
        <f t="shared" si="5"/>
        <v>0.18397137559884971</v>
      </c>
      <c r="I18" s="28">
        <f t="shared" si="6"/>
        <v>-9.0333578121577585</v>
      </c>
      <c r="J18" s="28">
        <f t="shared" si="7"/>
        <v>6.04393184398148</v>
      </c>
      <c r="K18" s="28">
        <f t="shared" si="8"/>
        <v>-6.7175083463518881</v>
      </c>
      <c r="L18" s="34">
        <f t="shared" si="9"/>
        <v>-0.48791634400000028</v>
      </c>
    </row>
    <row r="19" spans="1:12" ht="15" customHeight="1" x14ac:dyDescent="0.3">
      <c r="A19" s="19" t="s">
        <v>161</v>
      </c>
      <c r="B19" s="35">
        <v>2.3308469999999999</v>
      </c>
      <c r="C19" s="20">
        <v>0.18013399999999999</v>
      </c>
      <c r="D19" s="35">
        <v>7.4695270000000002</v>
      </c>
      <c r="E19" s="20">
        <v>0.16457302147</v>
      </c>
      <c r="F19" s="27">
        <v>1.09910459996</v>
      </c>
      <c r="G19" s="35">
        <v>6.7052153646099999</v>
      </c>
      <c r="H19" s="17">
        <f t="shared" si="5"/>
        <v>0.18088296492699282</v>
      </c>
      <c r="I19" s="28">
        <f t="shared" si="6"/>
        <v>-8.6385571463466047</v>
      </c>
      <c r="J19" s="28">
        <f t="shared" si="7"/>
        <v>0.41578209943310784</v>
      </c>
      <c r="K19" s="28">
        <f t="shared" si="8"/>
        <v>-10.232396715213699</v>
      </c>
      <c r="L19" s="34">
        <f t="shared" si="9"/>
        <v>-0.76431163539000035</v>
      </c>
    </row>
    <row r="20" spans="1:12" ht="15" customHeight="1" x14ac:dyDescent="0.3">
      <c r="A20" s="19" t="s">
        <v>161</v>
      </c>
      <c r="B20" s="35">
        <v>2.629515</v>
      </c>
      <c r="C20" s="20">
        <v>0.18041699999999999</v>
      </c>
      <c r="D20" s="35">
        <v>7.0555019999999997</v>
      </c>
      <c r="E20" s="20">
        <v>0.16733542594699999</v>
      </c>
      <c r="F20" s="27">
        <v>1.05256068266</v>
      </c>
      <c r="G20" s="35">
        <v>6.3498504433600003</v>
      </c>
      <c r="H20" s="17">
        <f t="shared" si="5"/>
        <v>0.17613069016797619</v>
      </c>
      <c r="I20" s="28">
        <f t="shared" si="6"/>
        <v>-7.2507435845846055</v>
      </c>
      <c r="J20" s="28">
        <f t="shared" si="7"/>
        <v>-2.3757793511829814</v>
      </c>
      <c r="K20" s="28">
        <f t="shared" si="8"/>
        <v>-10.001436561707438</v>
      </c>
      <c r="L20" s="34">
        <f t="shared" si="9"/>
        <v>-0.70565155663999946</v>
      </c>
    </row>
    <row r="21" spans="1:12" ht="15" customHeight="1" x14ac:dyDescent="0.3">
      <c r="A21" s="19" t="s">
        <v>161</v>
      </c>
      <c r="B21" s="35">
        <v>2.927972</v>
      </c>
      <c r="C21" s="20">
        <v>0.182003</v>
      </c>
      <c r="D21" s="35">
        <v>6.5010909999999997</v>
      </c>
      <c r="E21" s="20">
        <v>0.16916046909999999</v>
      </c>
      <c r="F21" s="27">
        <v>1.0228102316300001</v>
      </c>
      <c r="G21" s="35">
        <v>5.8749750025700003</v>
      </c>
      <c r="H21" s="17">
        <f t="shared" si="5"/>
        <v>0.17301905858281047</v>
      </c>
      <c r="I21" s="28">
        <f t="shared" si="6"/>
        <v>-7.0562193480327293</v>
      </c>
      <c r="J21" s="28">
        <f t="shared" si="7"/>
        <v>-4.9361501827934307</v>
      </c>
      <c r="K21" s="28">
        <f t="shared" si="8"/>
        <v>-9.6309372908331756</v>
      </c>
      <c r="L21" s="34">
        <f t="shared" si="9"/>
        <v>-0.62611599742999946</v>
      </c>
    </row>
    <row r="22" spans="1:12" ht="15" customHeight="1" x14ac:dyDescent="0.3">
      <c r="A22" s="19" t="s">
        <v>161</v>
      </c>
      <c r="B22" s="35">
        <v>3.2292019999999999</v>
      </c>
      <c r="C22" s="20">
        <v>0.18385599999999999</v>
      </c>
      <c r="D22" s="35">
        <v>5.9527809999999999</v>
      </c>
      <c r="E22" s="20">
        <v>0.17180596843900001</v>
      </c>
      <c r="F22" s="27">
        <v>1.0046099963099999</v>
      </c>
      <c r="G22" s="35">
        <v>5.3740690612300002</v>
      </c>
      <c r="H22" s="17">
        <f t="shared" si="5"/>
        <v>0.17259799331953976</v>
      </c>
      <c r="I22" s="28">
        <f t="shared" si="6"/>
        <v>-6.554059460120957</v>
      </c>
      <c r="J22" s="28">
        <f t="shared" si="7"/>
        <v>-6.1232740190476411</v>
      </c>
      <c r="K22" s="28">
        <f t="shared" si="8"/>
        <v>-9.721707194838844</v>
      </c>
      <c r="L22" s="34">
        <f t="shared" si="9"/>
        <v>-0.57871193876999971</v>
      </c>
    </row>
    <row r="23" spans="1:12" ht="15" customHeight="1" x14ac:dyDescent="0.3">
      <c r="A23" s="19" t="s">
        <v>161</v>
      </c>
      <c r="B23" s="35">
        <v>3.5299879999999999</v>
      </c>
      <c r="C23" s="20">
        <v>0.18873999999999999</v>
      </c>
      <c r="D23" s="35">
        <v>5.4729700000000001</v>
      </c>
      <c r="E23" s="20">
        <v>0.17604943244599999</v>
      </c>
      <c r="F23" s="27">
        <v>0.99395994084399997</v>
      </c>
      <c r="G23" s="35">
        <v>4.8990332934699996</v>
      </c>
      <c r="H23" s="17">
        <f t="shared" si="5"/>
        <v>0.17498608345964592</v>
      </c>
      <c r="I23" s="28">
        <f t="shared" si="6"/>
        <v>-6.7238357285154171</v>
      </c>
      <c r="J23" s="28">
        <f t="shared" si="7"/>
        <v>-7.2872292785599626</v>
      </c>
      <c r="K23" s="28">
        <f t="shared" si="8"/>
        <v>-10.486750457795319</v>
      </c>
      <c r="L23" s="34">
        <f t="shared" si="9"/>
        <v>-0.57393670653000051</v>
      </c>
    </row>
    <row r="24" spans="1:12" ht="15" customHeight="1" x14ac:dyDescent="0.3">
      <c r="A24" s="19" t="s">
        <v>161</v>
      </c>
      <c r="B24" s="35">
        <v>3.8284180000000001</v>
      </c>
      <c r="C24" s="20">
        <v>0.19398000000000001</v>
      </c>
      <c r="D24" s="35">
        <v>5.020689</v>
      </c>
      <c r="E24" s="20">
        <v>0.18212618222800001</v>
      </c>
      <c r="F24" s="27">
        <v>0.987877718387</v>
      </c>
      <c r="G24" s="35">
        <v>4.4701030233000001</v>
      </c>
      <c r="H24" s="17">
        <f t="shared" si="5"/>
        <v>0.17991839735793164</v>
      </c>
      <c r="I24" s="28">
        <f t="shared" si="6"/>
        <v>-6.1108453304464412</v>
      </c>
      <c r="J24" s="28">
        <f t="shared" si="7"/>
        <v>-7.2489961037572819</v>
      </c>
      <c r="K24" s="28">
        <f t="shared" si="8"/>
        <v>-10.966342999934866</v>
      </c>
      <c r="L24" s="34">
        <f t="shared" si="9"/>
        <v>-0.55058597669999987</v>
      </c>
    </row>
    <row r="26" spans="1:12" ht="23.25" customHeight="1" x14ac:dyDescent="0.3">
      <c r="A26" s="15" t="s">
        <v>156</v>
      </c>
      <c r="B26" s="15" t="s">
        <v>54</v>
      </c>
      <c r="C26" s="15" t="s">
        <v>166</v>
      </c>
      <c r="D26" s="15" t="s">
        <v>167</v>
      </c>
      <c r="E26" s="15" t="s">
        <v>168</v>
      </c>
      <c r="F26" s="15" t="s">
        <v>169</v>
      </c>
      <c r="G26" s="15" t="s">
        <v>170</v>
      </c>
      <c r="H26" s="15" t="s">
        <v>171</v>
      </c>
      <c r="I26" s="15" t="s">
        <v>172</v>
      </c>
      <c r="J26" s="15" t="s">
        <v>173</v>
      </c>
      <c r="K26" s="15" t="s">
        <v>174</v>
      </c>
      <c r="L26" s="15" t="s">
        <v>175</v>
      </c>
    </row>
    <row r="27" spans="1:12" ht="15" customHeight="1" x14ac:dyDescent="0.3">
      <c r="A27" s="19" t="s">
        <v>162</v>
      </c>
      <c r="B27" s="35">
        <v>1.127578</v>
      </c>
      <c r="C27" s="20">
        <v>0.15568599999999999</v>
      </c>
      <c r="D27" s="35">
        <v>7.6919500000000003</v>
      </c>
      <c r="E27" s="20">
        <v>0.14548928936300001</v>
      </c>
      <c r="F27" s="27">
        <v>0.90987297277099999</v>
      </c>
      <c r="G27" s="35">
        <v>7.4653538583500003</v>
      </c>
      <c r="H27" s="17">
        <f t="shared" ref="H27:H36" si="10">F27*E27</f>
        <v>0.13237677221905306</v>
      </c>
      <c r="I27" s="28">
        <f t="shared" ref="I27:I36" si="11">100*(E27-C27)/C27</f>
        <v>-6.5495360128720499</v>
      </c>
      <c r="J27" s="28">
        <f t="shared" ref="J27:J36" si="12">100*(H27-C27)/C27</f>
        <v>-14.97194852520261</v>
      </c>
      <c r="K27" s="28">
        <f t="shared" ref="K27:K36" si="13">100*(G27-D27)/D27</f>
        <v>-2.9458868251873707</v>
      </c>
      <c r="L27" s="34">
        <f t="shared" ref="L27:L36" si="14">G27-D27</f>
        <v>-0.22659614164999997</v>
      </c>
    </row>
    <row r="28" spans="1:12" ht="15" customHeight="1" x14ac:dyDescent="0.3">
      <c r="A28" s="19" t="s">
        <v>162</v>
      </c>
      <c r="B28" s="35">
        <v>1.425308</v>
      </c>
      <c r="C28" s="20">
        <v>0.18359800000000001</v>
      </c>
      <c r="D28" s="35">
        <v>8.5311649999999997</v>
      </c>
      <c r="E28" s="20">
        <v>0.170923030497</v>
      </c>
      <c r="F28" s="27">
        <v>1.1635709377800001</v>
      </c>
      <c r="G28" s="35">
        <v>8.5909162657800007</v>
      </c>
      <c r="H28" s="17">
        <f t="shared" si="10"/>
        <v>0.19888107088359386</v>
      </c>
      <c r="I28" s="28">
        <f t="shared" si="11"/>
        <v>-6.9036533638710713</v>
      </c>
      <c r="J28" s="28">
        <f t="shared" si="12"/>
        <v>8.3242033592925004</v>
      </c>
      <c r="K28" s="28">
        <f t="shared" si="13"/>
        <v>0.70038811557391056</v>
      </c>
      <c r="L28" s="34">
        <f t="shared" si="14"/>
        <v>5.9751265780001006E-2</v>
      </c>
    </row>
    <row r="29" spans="1:12" ht="15" customHeight="1" x14ac:dyDescent="0.3">
      <c r="A29" s="19" t="s">
        <v>162</v>
      </c>
      <c r="B29" s="35">
        <v>1.7042120000000001</v>
      </c>
      <c r="C29" s="20">
        <v>0.19731199999999999</v>
      </c>
      <c r="D29" s="35">
        <v>9.4451920000000005</v>
      </c>
      <c r="E29" s="20">
        <v>0.187530048803</v>
      </c>
      <c r="F29" s="27">
        <v>1.17437029873</v>
      </c>
      <c r="G29" s="35">
        <v>9.2390224178500002</v>
      </c>
      <c r="H29" s="17">
        <f t="shared" si="10"/>
        <v>0.22022971943363059</v>
      </c>
      <c r="I29" s="28">
        <f t="shared" si="11"/>
        <v>-4.9576058207306115</v>
      </c>
      <c r="J29" s="28">
        <f t="shared" si="12"/>
        <v>11.614964844323007</v>
      </c>
      <c r="K29" s="28">
        <f t="shared" si="13"/>
        <v>-2.1827992713117981</v>
      </c>
      <c r="L29" s="34">
        <f t="shared" si="14"/>
        <v>-0.20616958215000025</v>
      </c>
    </row>
    <row r="30" spans="1:12" ht="15" customHeight="1" x14ac:dyDescent="0.3">
      <c r="A30" s="19" t="s">
        <v>162</v>
      </c>
      <c r="B30" s="35">
        <v>2.0284230000000001</v>
      </c>
      <c r="C30" s="20">
        <v>0.21717600000000001</v>
      </c>
      <c r="D30" s="35">
        <v>9.8767980000000009</v>
      </c>
      <c r="E30" s="20">
        <v>0.19237138282399999</v>
      </c>
      <c r="F30" s="27">
        <v>1.12181456287</v>
      </c>
      <c r="G30" s="35">
        <v>9.1469774471599994</v>
      </c>
      <c r="H30" s="17">
        <f t="shared" si="10"/>
        <v>0.21580501873140298</v>
      </c>
      <c r="I30" s="28">
        <f t="shared" si="11"/>
        <v>-11.421435690868245</v>
      </c>
      <c r="J30" s="28">
        <f t="shared" si="12"/>
        <v>-0.63127659989917251</v>
      </c>
      <c r="K30" s="28">
        <f t="shared" si="13"/>
        <v>-7.3892424735223043</v>
      </c>
      <c r="L30" s="34">
        <f t="shared" si="14"/>
        <v>-0.72982055284000147</v>
      </c>
    </row>
    <row r="31" spans="1:12" ht="15" customHeight="1" x14ac:dyDescent="0.3">
      <c r="A31" s="19" t="s">
        <v>162</v>
      </c>
      <c r="B31" s="35">
        <v>2.3309410000000002</v>
      </c>
      <c r="C31" s="20">
        <v>0.211256</v>
      </c>
      <c r="D31" s="35">
        <v>9.1555219999999995</v>
      </c>
      <c r="E31" s="20">
        <v>0.188350717221</v>
      </c>
      <c r="F31" s="27">
        <v>1.0723962653600001</v>
      </c>
      <c r="G31" s="35">
        <v>8.5246076085000002</v>
      </c>
      <c r="H31" s="17">
        <f t="shared" si="10"/>
        <v>0.20198660572567786</v>
      </c>
      <c r="I31" s="28">
        <f t="shared" si="11"/>
        <v>-10.842429459518309</v>
      </c>
      <c r="J31" s="28">
        <f t="shared" si="12"/>
        <v>-4.3877543238166652</v>
      </c>
      <c r="K31" s="28">
        <f t="shared" si="13"/>
        <v>-6.8910805031105742</v>
      </c>
      <c r="L31" s="34">
        <f t="shared" si="14"/>
        <v>-0.63091439149999928</v>
      </c>
    </row>
    <row r="32" spans="1:12" ht="15" customHeight="1" x14ac:dyDescent="0.3">
      <c r="A32" s="19" t="s">
        <v>162</v>
      </c>
      <c r="B32" s="35">
        <v>2.626576</v>
      </c>
      <c r="C32" s="20">
        <v>0.20170399999999999</v>
      </c>
      <c r="D32" s="35">
        <v>8.2862570000000009</v>
      </c>
      <c r="E32" s="20">
        <v>0.18249735104000001</v>
      </c>
      <c r="F32" s="27">
        <v>1.03715221392</v>
      </c>
      <c r="G32" s="35">
        <v>7.7475295802000002</v>
      </c>
      <c r="H32" s="17">
        <f t="shared" si="10"/>
        <v>0.18927753166567143</v>
      </c>
      <c r="I32" s="28">
        <f t="shared" si="11"/>
        <v>-9.5221953754015747</v>
      </c>
      <c r="J32" s="28">
        <f t="shared" si="12"/>
        <v>-6.1607446229765213</v>
      </c>
      <c r="K32" s="28">
        <f t="shared" si="13"/>
        <v>-6.5014568073377479</v>
      </c>
      <c r="L32" s="34">
        <f t="shared" si="14"/>
        <v>-0.53872741980000072</v>
      </c>
    </row>
    <row r="33" spans="1:12" ht="15" customHeight="1" x14ac:dyDescent="0.3">
      <c r="A33" s="19" t="s">
        <v>162</v>
      </c>
      <c r="B33" s="35">
        <v>2.9288449999999999</v>
      </c>
      <c r="C33" s="20">
        <v>0.194662</v>
      </c>
      <c r="D33" s="35">
        <v>7.5099989999999996</v>
      </c>
      <c r="E33" s="20">
        <v>0.17763239331899999</v>
      </c>
      <c r="F33" s="27">
        <v>1.01370935168</v>
      </c>
      <c r="G33" s="35">
        <v>6.9546582275700004</v>
      </c>
      <c r="H33" s="17">
        <f t="shared" si="10"/>
        <v>0.18006761826877024</v>
      </c>
      <c r="I33" s="28">
        <f t="shared" si="11"/>
        <v>-8.7482953432102875</v>
      </c>
      <c r="J33" s="28">
        <f t="shared" si="12"/>
        <v>-7.497293632670865</v>
      </c>
      <c r="K33" s="28">
        <f t="shared" si="13"/>
        <v>-7.3946850383069203</v>
      </c>
      <c r="L33" s="34">
        <f t="shared" si="14"/>
        <v>-0.55534077242999924</v>
      </c>
    </row>
    <row r="34" spans="1:12" ht="15" customHeight="1" x14ac:dyDescent="0.3">
      <c r="A34" s="19" t="s">
        <v>162</v>
      </c>
      <c r="B34" s="35">
        <v>3.2286009999999998</v>
      </c>
      <c r="C34" s="20">
        <v>0.192055</v>
      </c>
      <c r="D34" s="35">
        <v>6.7634080000000001</v>
      </c>
      <c r="E34" s="20">
        <v>0.17507054061499999</v>
      </c>
      <c r="F34" s="27">
        <v>0.99951060015299997</v>
      </c>
      <c r="G34" s="35">
        <v>6.2370868485399997</v>
      </c>
      <c r="H34" s="17">
        <f t="shared" si="10"/>
        <v>0.1749848611192088</v>
      </c>
      <c r="I34" s="28">
        <f t="shared" si="11"/>
        <v>-8.8435392908281543</v>
      </c>
      <c r="J34" s="28">
        <f t="shared" si="12"/>
        <v>-8.8881512487522869</v>
      </c>
      <c r="K34" s="28">
        <f t="shared" si="13"/>
        <v>-7.7818926709729812</v>
      </c>
      <c r="L34" s="34">
        <f t="shared" si="14"/>
        <v>-0.52632115146000036</v>
      </c>
    </row>
    <row r="35" spans="1:12" ht="15" customHeight="1" x14ac:dyDescent="0.3">
      <c r="A35" s="19" t="s">
        <v>162</v>
      </c>
      <c r="B35" s="35">
        <v>3.5241389999999999</v>
      </c>
      <c r="C35" s="20">
        <v>0.195439</v>
      </c>
      <c r="D35" s="35">
        <v>6.4180599999999997</v>
      </c>
      <c r="E35" s="20">
        <v>0.17501801839100001</v>
      </c>
      <c r="F35" s="27">
        <v>0.99120957146199995</v>
      </c>
      <c r="G35" s="35">
        <v>5.6139285625999999</v>
      </c>
      <c r="H35" s="17">
        <f t="shared" si="10"/>
        <v>0.17347953500747154</v>
      </c>
      <c r="I35" s="28">
        <f t="shared" si="11"/>
        <v>-10.448775121137539</v>
      </c>
      <c r="J35" s="28">
        <f t="shared" si="12"/>
        <v>-11.235968763925552</v>
      </c>
      <c r="K35" s="28">
        <f t="shared" si="13"/>
        <v>-12.529197879109882</v>
      </c>
      <c r="L35" s="34">
        <f t="shared" si="14"/>
        <v>-0.8041314373999997</v>
      </c>
    </row>
    <row r="36" spans="1:12" ht="15" customHeight="1" x14ac:dyDescent="0.3">
      <c r="A36" s="19" t="s">
        <v>162</v>
      </c>
      <c r="B36" s="35">
        <v>3.830085</v>
      </c>
      <c r="C36" s="20">
        <v>0.190994</v>
      </c>
      <c r="D36" s="35">
        <v>5.6848910000000004</v>
      </c>
      <c r="E36" s="20">
        <v>0.177482613821</v>
      </c>
      <c r="F36" s="27">
        <v>0.98624796252299995</v>
      </c>
      <c r="G36" s="35">
        <v>5.0547621569899999</v>
      </c>
      <c r="H36" s="17">
        <f t="shared" si="10"/>
        <v>0.17504186626421769</v>
      </c>
      <c r="I36" s="28">
        <f t="shared" si="11"/>
        <v>-7.0742464051226719</v>
      </c>
      <c r="J36" s="28">
        <f t="shared" si="12"/>
        <v>-8.352164851137891</v>
      </c>
      <c r="K36" s="28">
        <f t="shared" si="13"/>
        <v>-11.08427308474341</v>
      </c>
      <c r="L36" s="34">
        <f t="shared" si="14"/>
        <v>-0.63012884301000049</v>
      </c>
    </row>
    <row r="38" spans="1:12" ht="58.2" customHeight="1" x14ac:dyDescent="0.3">
      <c r="A38" s="30" t="s">
        <v>176</v>
      </c>
    </row>
    <row r="39" spans="1:12" ht="34.5" customHeight="1" x14ac:dyDescent="0.3">
      <c r="A39" s="15" t="s">
        <v>156</v>
      </c>
      <c r="B39" s="15" t="s">
        <v>177</v>
      </c>
      <c r="C39" s="15" t="s">
        <v>178</v>
      </c>
      <c r="D39" s="15" t="s">
        <v>179</v>
      </c>
      <c r="E39" s="15" t="s">
        <v>180</v>
      </c>
      <c r="F39" s="15" t="s">
        <v>181</v>
      </c>
    </row>
    <row r="40" spans="1:12" ht="15" customHeight="1" x14ac:dyDescent="0.3">
      <c r="A40" s="19" t="s">
        <v>21</v>
      </c>
      <c r="B40" s="19">
        <f>COUNT(B5:B12)</f>
        <v>8</v>
      </c>
      <c r="C40" s="21">
        <f>SUMPRODUCT(ABS(I5:I12))/B40</f>
        <v>4.8982919801174631</v>
      </c>
      <c r="D40" s="21">
        <f>SUMPRODUCT(ABS(J5:J12))/B40</f>
        <v>7.3059227854569695</v>
      </c>
      <c r="E40" s="21">
        <f>SUMPRODUCT(ABS(K5:K12))/B40</f>
        <v>8.0807801772560683</v>
      </c>
      <c r="F40" s="34">
        <f>AVERAGE(L5:L12)</f>
        <v>-0.40535285117174996</v>
      </c>
    </row>
    <row r="41" spans="1:12" ht="15" customHeight="1" x14ac:dyDescent="0.3">
      <c r="A41" s="19" t="s">
        <v>161</v>
      </c>
      <c r="B41" s="19">
        <f>COUNT(B15:B24)</f>
        <v>10</v>
      </c>
      <c r="C41" s="21">
        <f>SUMPRODUCT(ABS(I15:I24))/B41</f>
        <v>8.2674238962453668</v>
      </c>
      <c r="D41" s="21">
        <f>SUMPRODUCT(ABS(J15:J24))/B41</f>
        <v>6.7718790716664827</v>
      </c>
      <c r="E41" s="21">
        <f>SUMPRODUCT(ABS(K15:K24))/B41</f>
        <v>9.7170741007201276</v>
      </c>
      <c r="F41" s="34">
        <f>AVERAGE(L15:L24)</f>
        <v>-0.61099811810499993</v>
      </c>
    </row>
    <row r="42" spans="1:12" ht="15" customHeight="1" x14ac:dyDescent="0.3">
      <c r="A42" s="19" t="s">
        <v>162</v>
      </c>
      <c r="B42" s="19">
        <f>COUNT(B27:B36)</f>
        <v>10</v>
      </c>
      <c r="C42" s="21">
        <f>SUMPRODUCT(ABS(I27:I36))/B42</f>
        <v>8.5311711883560513</v>
      </c>
      <c r="D42" s="21">
        <f>SUMPRODUCT(ABS(J27:J36))/B42</f>
        <v>8.2064470771997069</v>
      </c>
      <c r="E42" s="21">
        <f>SUMPRODUCT(ABS(K27:K36))/B42</f>
        <v>6.540090266917689</v>
      </c>
      <c r="F42" s="34">
        <f>AVERAGE(L27:L36)</f>
        <v>-0.47883990264600007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Inputs</vt:lpstr>
      <vt:lpstr>Table 4.4</vt:lpstr>
      <vt:lpstr>Table F.1</vt:lpstr>
      <vt:lpstr>Wetted area 560</vt:lpstr>
      <vt:lpstr>Ch4 other calcs</vt:lpstr>
      <vt:lpstr>Ch5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Raji, T, Mr [24086533@sun.ac.za]</cp:lastModifiedBy>
  <cp:revision>0</cp:revision>
  <dcterms:created xsi:type="dcterms:W3CDTF">2026-09-29T19:40:47Z</dcterms:created>
  <dcterms:modified xsi:type="dcterms:W3CDTF">2026-10-16T16:40:01Z</dcterms:modified>
  <dc:language>en-US</dc:language>
</cp:coreProperties>
</file>