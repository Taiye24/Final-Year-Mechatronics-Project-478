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iye Raji\OneDrive - Stellenbosch University\Desktop\STELLENBOSCH UNIVERSITY MODULES\FOURTH YEAR MODULES\MECHATRONIC PROJECT\FINAL REPORT\TESTING\Raji\WETTED AREA\"/>
    </mc:Choice>
  </mc:AlternateContent>
  <xr:revisionPtr revIDLastSave="0" documentId="13_ncr:1_{582ED3FC-D7AB-472F-A1C0-364AD6648144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Model dimensions" sheetId="1" r:id="rId1"/>
    <sheet name="Resistance tests" sheetId="2" r:id="rId2"/>
    <sheet name="Wetted area tes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3" l="1"/>
  <c r="I7" i="3"/>
  <c r="K7" i="3" s="1"/>
  <c r="L7" i="3" s="1"/>
  <c r="H7" i="3"/>
  <c r="E7" i="3"/>
  <c r="D7" i="3"/>
  <c r="C7" i="3"/>
  <c r="J6" i="3"/>
  <c r="I6" i="3"/>
  <c r="K6" i="3" s="1"/>
  <c r="L6" i="3" s="1"/>
  <c r="H6" i="3"/>
  <c r="E6" i="3"/>
  <c r="D6" i="3"/>
  <c r="C6" i="3"/>
  <c r="J5" i="3"/>
  <c r="I5" i="3"/>
  <c r="K5" i="3" s="1"/>
  <c r="L5" i="3" s="1"/>
  <c r="H5" i="3"/>
  <c r="E5" i="3"/>
  <c r="D5" i="3"/>
  <c r="C5" i="3"/>
  <c r="J4" i="3"/>
  <c r="I4" i="3"/>
  <c r="K4" i="3" s="1"/>
  <c r="L4" i="3" s="1"/>
  <c r="H4" i="3"/>
  <c r="E4" i="3"/>
  <c r="D4" i="3"/>
  <c r="C4" i="3"/>
  <c r="C16" i="2"/>
  <c r="C15" i="2"/>
  <c r="C14" i="2"/>
  <c r="C13" i="2"/>
  <c r="C12" i="2"/>
  <c r="C11" i="2"/>
  <c r="C10" i="2"/>
  <c r="C9" i="2"/>
  <c r="C8" i="2"/>
  <c r="C7" i="2"/>
  <c r="C6" i="2"/>
  <c r="C5" i="2"/>
  <c r="C4" i="2"/>
</calcChain>
</file>

<file path=xl/sharedStrings.xml><?xml version="1.0" encoding="utf-8"?>
<sst xmlns="http://schemas.openxmlformats.org/spreadsheetml/2006/main" count="54" uniqueCount="42">
  <si>
    <t>Model dimensions</t>
  </si>
  <si>
    <t>Quantity</t>
  </si>
  <si>
    <t>Value</t>
  </si>
  <si>
    <t>Unit</t>
  </si>
  <si>
    <t>Beam (chine)</t>
  </si>
  <si>
    <t>mm</t>
  </si>
  <si>
    <t>Planing length</t>
  </si>
  <si>
    <t>Deadrise angle</t>
  </si>
  <si>
    <t>deg</t>
  </si>
  <si>
    <t>Displacement weight</t>
  </si>
  <si>
    <t>N</t>
  </si>
  <si>
    <t>Displacement mass</t>
  </si>
  <si>
    <t>kg</t>
  </si>
  <si>
    <t>LCG from transom (resistance and wetted-area tests)</t>
  </si>
  <si>
    <t>VCG above keel</t>
  </si>
  <si>
    <t>Tow-rod (thrust line) height above keel</t>
  </si>
  <si>
    <t>Thrust-line offset from CG (negative = above CG)</t>
  </si>
  <si>
    <t>Thrust inclination to keel</t>
  </si>
  <si>
    <t>Drag and trim, LCG 560 mm from transom: resistance tests (clean hull, water temperature 16.8 °C)</t>
  </si>
  <si>
    <t>Run</t>
  </si>
  <si>
    <t>Mean speed (m/s)</t>
  </si>
  <si>
    <t>Volumetric Froude number</t>
  </si>
  <si>
    <t>Drag (N)</t>
  </si>
  <si>
    <t>Running trim (deg)</t>
  </si>
  <si>
    <t>Values used</t>
  </si>
  <si>
    <t>Displacement weight (N)</t>
  </si>
  <si>
    <t>Water density at 16.8 °C (kg/m³)</t>
  </si>
  <si>
    <t>ITTC 7.5-02-01-03 (2011)</t>
  </si>
  <si>
    <t>Static floating trim (deg)</t>
  </si>
  <si>
    <t>Wetted area, LCG 560 mm from transom (water temperature 19 °C), with drag and trim from the resistance tests (16.8 °C) at the same speed</t>
  </si>
  <si>
    <t>Drag from resistance tests (N)</t>
  </si>
  <si>
    <t>Running trim from resistance tests (deg)</t>
  </si>
  <si>
    <t>Wetted keel length (m)</t>
  </si>
  <si>
    <t>Wetted chine length (m)</t>
  </si>
  <si>
    <t>Mean wetted length (m)</t>
  </si>
  <si>
    <t>Rectangle b·Lc (m²)</t>
  </si>
  <si>
    <t>Triangles ½b(Lk − Lc) (m²)</t>
  </si>
  <si>
    <t>Plan-view wetted area (m²)</t>
  </si>
  <si>
    <t>Wetted surface area (m²)</t>
  </si>
  <si>
    <t>Water density at 19 °C (kg/m³)</t>
  </si>
  <si>
    <t>Beam (m)</t>
  </si>
  <si>
    <t>Deadrise angle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</si>
</sst>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F23" sqref="F23"/>
    </sheetView>
  </sheetViews>
  <sheetFormatPr defaultColWidth="8.6640625" defaultRowHeight="14.4" x14ac:dyDescent="0.3"/>
  <cols>
    <col min="1" max="1" width="46" customWidth="1"/>
    <col min="2" max="2" width="12" customWidth="1"/>
    <col min="3" max="3" width="8" customWidth="1"/>
  </cols>
  <sheetData>
    <row r="1" spans="1:3" ht="15" customHeight="1" x14ac:dyDescent="0.3">
      <c r="A1" s="2" t="s">
        <v>0</v>
      </c>
    </row>
    <row r="3" spans="1:3" ht="15" customHeight="1" x14ac:dyDescent="0.3">
      <c r="A3" s="3" t="s">
        <v>1</v>
      </c>
      <c r="B3" s="3" t="s">
        <v>2</v>
      </c>
      <c r="C3" s="3" t="s">
        <v>3</v>
      </c>
    </row>
    <row r="4" spans="1:3" ht="15" customHeight="1" x14ac:dyDescent="0.3">
      <c r="A4" s="4" t="s">
        <v>4</v>
      </c>
      <c r="B4" s="5">
        <v>400</v>
      </c>
      <c r="C4" s="5" t="s">
        <v>5</v>
      </c>
    </row>
    <row r="5" spans="1:3" ht="15" customHeight="1" x14ac:dyDescent="0.3">
      <c r="A5" s="4" t="s">
        <v>6</v>
      </c>
      <c r="B5" s="5">
        <v>1600</v>
      </c>
      <c r="C5" s="5" t="s">
        <v>5</v>
      </c>
    </row>
    <row r="6" spans="1:3" ht="15" customHeight="1" x14ac:dyDescent="0.3">
      <c r="A6" s="4" t="s">
        <v>7</v>
      </c>
      <c r="B6" s="5">
        <v>18</v>
      </c>
      <c r="C6" s="5" t="s">
        <v>8</v>
      </c>
    </row>
    <row r="7" spans="1:3" ht="15" customHeight="1" x14ac:dyDescent="0.3">
      <c r="A7" s="4" t="s">
        <v>9</v>
      </c>
      <c r="B7" s="5">
        <v>264.87</v>
      </c>
      <c r="C7" s="5" t="s">
        <v>10</v>
      </c>
    </row>
    <row r="8" spans="1:3" ht="15" customHeight="1" x14ac:dyDescent="0.3">
      <c r="A8" s="4" t="s">
        <v>11</v>
      </c>
      <c r="B8" s="5">
        <v>27</v>
      </c>
      <c r="C8" s="5" t="s">
        <v>12</v>
      </c>
    </row>
    <row r="9" spans="1:3" ht="15" customHeight="1" x14ac:dyDescent="0.3">
      <c r="A9" s="4" t="s">
        <v>13</v>
      </c>
      <c r="B9" s="5">
        <v>560</v>
      </c>
      <c r="C9" s="5" t="s">
        <v>5</v>
      </c>
    </row>
    <row r="10" spans="1:3" ht="15" customHeight="1" x14ac:dyDescent="0.3">
      <c r="A10" s="4" t="s">
        <v>14</v>
      </c>
      <c r="B10" s="5">
        <v>92</v>
      </c>
      <c r="C10" s="5" t="s">
        <v>5</v>
      </c>
    </row>
    <row r="11" spans="1:3" ht="14.25" customHeight="1" x14ac:dyDescent="0.3">
      <c r="A11" s="4" t="s">
        <v>15</v>
      </c>
      <c r="B11" s="5">
        <v>161.6</v>
      </c>
      <c r="C11" s="5" t="s">
        <v>5</v>
      </c>
    </row>
    <row r="12" spans="1:3" ht="14.25" customHeight="1" x14ac:dyDescent="0.3">
      <c r="A12" s="4" t="s">
        <v>16</v>
      </c>
      <c r="B12" s="5">
        <v>-69.599999999999994</v>
      </c>
      <c r="C12" s="5" t="s">
        <v>5</v>
      </c>
    </row>
    <row r="13" spans="1:3" ht="14.25" customHeight="1" x14ac:dyDescent="0.3">
      <c r="A13" s="4" t="s">
        <v>17</v>
      </c>
      <c r="B13" s="5">
        <v>0</v>
      </c>
      <c r="C13" s="5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zoomScaleNormal="100" workbookViewId="0">
      <selection activeCell="H17" sqref="H17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3" customWidth="1"/>
    <col min="4" max="4" width="10" customWidth="1"/>
    <col min="5" max="5" width="12" customWidth="1"/>
  </cols>
  <sheetData>
    <row r="1" spans="1:5" ht="34.5" customHeight="1" x14ac:dyDescent="0.3">
      <c r="A1" s="2" t="s">
        <v>18</v>
      </c>
    </row>
    <row r="3" spans="1:5" ht="34.5" customHeight="1" x14ac:dyDescent="0.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</row>
    <row r="4" spans="1:5" ht="15" customHeight="1" x14ac:dyDescent="0.3">
      <c r="A4" s="5">
        <v>1</v>
      </c>
      <c r="B4" s="6">
        <v>0.38995375960071899</v>
      </c>
      <c r="C4" s="7">
        <f t="shared" ref="C4:C16" si="0">B4/SQRT(9.81*($B$20/($B$21*9.81))^(1/3))</f>
        <v>0.22726469559908849</v>
      </c>
      <c r="D4" s="7">
        <v>0.77439163523884502</v>
      </c>
      <c r="E4" s="7">
        <v>3.2532034098193998</v>
      </c>
    </row>
    <row r="5" spans="1:5" ht="15" customHeight="1" x14ac:dyDescent="0.3">
      <c r="A5" s="5">
        <v>2</v>
      </c>
      <c r="B5" s="6">
        <v>0.90446908587614705</v>
      </c>
      <c r="C5" s="7">
        <f t="shared" si="0"/>
        <v>0.52712375870128525</v>
      </c>
      <c r="D5" s="7">
        <v>5.4316101439793902</v>
      </c>
      <c r="E5" s="7">
        <v>3.4326682901946901</v>
      </c>
    </row>
    <row r="6" spans="1:5" ht="15" customHeight="1" x14ac:dyDescent="0.3">
      <c r="A6" s="5">
        <v>3</v>
      </c>
      <c r="B6" s="6">
        <v>1.4214801697095201</v>
      </c>
      <c r="C6" s="7">
        <f t="shared" si="0"/>
        <v>0.82843734703302774</v>
      </c>
      <c r="D6" s="7">
        <v>15.961755922190299</v>
      </c>
      <c r="E6" s="7">
        <v>3.9575963826688998</v>
      </c>
    </row>
    <row r="7" spans="1:5" ht="15" customHeight="1" x14ac:dyDescent="0.3">
      <c r="A7" s="5">
        <v>4</v>
      </c>
      <c r="B7" s="6">
        <v>1.93738655715077</v>
      </c>
      <c r="C7" s="7">
        <f t="shared" si="0"/>
        <v>1.1291071193145228</v>
      </c>
      <c r="D7" s="7">
        <v>31.118066311589001</v>
      </c>
      <c r="E7" s="7">
        <v>5.6985603693554099</v>
      </c>
    </row>
    <row r="8" spans="1:5" ht="15" customHeight="1" x14ac:dyDescent="0.3">
      <c r="A8" s="5">
        <v>5</v>
      </c>
      <c r="B8" s="6">
        <v>2.4539396443511499</v>
      </c>
      <c r="C8" s="7">
        <f t="shared" si="0"/>
        <v>1.4301537876260837</v>
      </c>
      <c r="D8" s="7">
        <v>37.853976265878401</v>
      </c>
      <c r="E8" s="7">
        <v>6.4532087388181498</v>
      </c>
    </row>
    <row r="9" spans="1:5" ht="15" customHeight="1" x14ac:dyDescent="0.3">
      <c r="A9" s="5">
        <v>6</v>
      </c>
      <c r="B9" s="6">
        <v>2.9652494124130002</v>
      </c>
      <c r="C9" s="7">
        <f t="shared" si="0"/>
        <v>1.7281446543237122</v>
      </c>
      <c r="D9" s="7">
        <v>41.394955290335197</v>
      </c>
      <c r="E9" s="7">
        <v>6.7843895146691802</v>
      </c>
    </row>
    <row r="10" spans="1:5" ht="15" customHeight="1" x14ac:dyDescent="0.3">
      <c r="A10" s="5">
        <v>7</v>
      </c>
      <c r="B10" s="6">
        <v>3.4831546647208098</v>
      </c>
      <c r="C10" s="7">
        <f t="shared" si="0"/>
        <v>2.0299793632271994</v>
      </c>
      <c r="D10" s="7">
        <v>45.951260880969798</v>
      </c>
      <c r="E10" s="7">
        <v>7.2633528206487403</v>
      </c>
    </row>
    <row r="11" spans="1:5" ht="15" customHeight="1" x14ac:dyDescent="0.3">
      <c r="A11" s="5">
        <v>8</v>
      </c>
      <c r="B11" s="6">
        <v>3.9994429707527202</v>
      </c>
      <c r="C11" s="7">
        <f t="shared" si="0"/>
        <v>2.3308717173151603</v>
      </c>
      <c r="D11" s="7">
        <v>47.712061424255403</v>
      </c>
      <c r="E11" s="7">
        <v>7.4695272850165297</v>
      </c>
    </row>
    <row r="12" spans="1:5" ht="15" customHeight="1" x14ac:dyDescent="0.3">
      <c r="A12" s="5">
        <v>9</v>
      </c>
      <c r="B12" s="6">
        <v>4.5119188729922</v>
      </c>
      <c r="C12" s="7">
        <f t="shared" si="0"/>
        <v>2.6295422059484204</v>
      </c>
      <c r="D12" s="7">
        <v>47.786998078028397</v>
      </c>
      <c r="E12" s="7">
        <v>7.0555024762036496</v>
      </c>
    </row>
    <row r="13" spans="1:5" ht="15" customHeight="1" x14ac:dyDescent="0.3">
      <c r="A13" s="5">
        <v>10</v>
      </c>
      <c r="B13" s="6">
        <v>5.0240337589808899</v>
      </c>
      <c r="C13" s="7">
        <f t="shared" si="0"/>
        <v>2.9280022946398363</v>
      </c>
      <c r="D13" s="7">
        <v>48.207188404628198</v>
      </c>
      <c r="E13" s="7">
        <v>6.5010909545137698</v>
      </c>
    </row>
    <row r="14" spans="1:5" ht="15" customHeight="1" x14ac:dyDescent="0.3">
      <c r="A14" s="5">
        <v>11</v>
      </c>
      <c r="B14" s="6">
        <v>5.5409064483642601</v>
      </c>
      <c r="C14" s="7">
        <f t="shared" si="0"/>
        <v>3.2292352268122824</v>
      </c>
      <c r="D14" s="7">
        <v>48.697959751553</v>
      </c>
      <c r="E14" s="7">
        <v>5.9527808911592803</v>
      </c>
    </row>
    <row r="15" spans="1:5" ht="15" customHeight="1" x14ac:dyDescent="0.3">
      <c r="A15" s="5">
        <v>12</v>
      </c>
      <c r="B15" s="6">
        <v>6.0570179899533603</v>
      </c>
      <c r="C15" s="7">
        <f t="shared" si="0"/>
        <v>3.5300245627441185</v>
      </c>
      <c r="D15" s="7">
        <v>49.9915238761902</v>
      </c>
      <c r="E15" s="7">
        <v>5.4729703048423604</v>
      </c>
    </row>
    <row r="16" spans="1:5" ht="15" customHeight="1" x14ac:dyDescent="0.3">
      <c r="A16" s="5">
        <v>13</v>
      </c>
      <c r="B16" s="6">
        <v>6.5690861709912598</v>
      </c>
      <c r="C16" s="7">
        <f t="shared" si="0"/>
        <v>3.8284574318327915</v>
      </c>
      <c r="D16" s="7">
        <v>51.3796092987061</v>
      </c>
      <c r="E16" s="7">
        <v>5.0206889431602004</v>
      </c>
    </row>
    <row r="19" spans="1:3" ht="15" customHeight="1" x14ac:dyDescent="0.3">
      <c r="A19" s="2" t="s">
        <v>24</v>
      </c>
    </row>
    <row r="20" spans="1:3" ht="15" customHeight="1" x14ac:dyDescent="0.3">
      <c r="A20" s="4" t="s">
        <v>25</v>
      </c>
      <c r="B20" s="5">
        <v>264.87</v>
      </c>
      <c r="C20" s="4"/>
    </row>
    <row r="21" spans="1:3" ht="23.25" customHeight="1" x14ac:dyDescent="0.3">
      <c r="A21" s="4" t="s">
        <v>26</v>
      </c>
      <c r="B21" s="5">
        <v>998.8125</v>
      </c>
      <c r="C21" s="4" t="s">
        <v>27</v>
      </c>
    </row>
    <row r="22" spans="1:3" ht="15" customHeight="1" x14ac:dyDescent="0.3">
      <c r="A22" s="4" t="s">
        <v>28</v>
      </c>
      <c r="B22" s="5">
        <v>3.2</v>
      </c>
      <c r="C22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zoomScaleNormal="100" workbookViewId="0">
      <selection activeCell="F13" sqref="F13"/>
    </sheetView>
  </sheetViews>
  <sheetFormatPr defaultColWidth="8.6640625" defaultRowHeight="14.4" x14ac:dyDescent="0.3"/>
  <cols>
    <col min="1" max="1" width="28.88671875" customWidth="1"/>
    <col min="2" max="2" width="14" customWidth="1"/>
    <col min="3" max="3" width="15.88671875" customWidth="1"/>
    <col min="4" max="9" width="14" customWidth="1"/>
    <col min="10" max="12" width="13" customWidth="1"/>
  </cols>
  <sheetData>
    <row r="1" spans="1:12" ht="90.6" customHeight="1" x14ac:dyDescent="0.3">
      <c r="A1" s="2" t="s">
        <v>29</v>
      </c>
    </row>
    <row r="3" spans="1:12" ht="34.5" customHeight="1" x14ac:dyDescent="0.3">
      <c r="A3" s="3" t="s">
        <v>19</v>
      </c>
      <c r="B3" s="3" t="s">
        <v>20</v>
      </c>
      <c r="C3" s="3" t="s">
        <v>21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</row>
    <row r="4" spans="1:12" ht="15" customHeight="1" x14ac:dyDescent="0.3">
      <c r="A4" s="5">
        <v>1</v>
      </c>
      <c r="B4" s="6">
        <v>2.0409197333653801</v>
      </c>
      <c r="C4" s="7">
        <f>B4/SQRT(9.81*($B$11/($B$12*9.81))^(1/3))</f>
        <v>1.1893659222078996</v>
      </c>
      <c r="D4" s="7">
        <f>INDEX('Resistance tests'!$D$4:$D$16,MATCH(B4,'Resistance tests'!$B$4:$B$16,1))+(B4-INDEX('Resistance tests'!$B$4:$B$16,MATCH(B4,'Resistance tests'!$B$4:$B$16,1)))*(INDEX('Resistance tests'!$D$4:$D$16,MATCH(B4,'Resistance tests'!$B$4:$B$16,1)+1)-INDEX('Resistance tests'!$D$4:$D$16,MATCH(B4,'Resistance tests'!$B$4:$B$16,1)))/(INDEX('Resistance tests'!$B$4:$B$16,MATCH(B4,'Resistance tests'!$B$4:$B$16,1)+1)-INDEX('Resistance tests'!$B$4:$B$16,MATCH(B4,'Resistance tests'!$B$4:$B$16,1)))</f>
        <v>32.468150493725851</v>
      </c>
      <c r="E4" s="7">
        <f>INDEX('Resistance tests'!$E$4:$E$16,MATCH(B4,'Resistance tests'!$B$4:$B$16,1))+(B4-INDEX('Resistance tests'!$B$4:$B$16,MATCH(B4,'Resistance tests'!$B$4:$B$16,1)))*(INDEX('Resistance tests'!$E$4:$E$16,MATCH(B4,'Resistance tests'!$B$4:$B$16,1)+1)-INDEX('Resistance tests'!$E$4:$E$16,MATCH(B4,'Resistance tests'!$B$4:$B$16,1)))/(INDEX('Resistance tests'!$B$4:$B$16,MATCH(B4,'Resistance tests'!$B$4:$B$16,1)+1)-INDEX('Resistance tests'!$B$4:$B$16,MATCH(B4,'Resistance tests'!$B$4:$B$16,1)))</f>
        <v>5.8498151862399821</v>
      </c>
      <c r="F4" s="6">
        <v>1.585</v>
      </c>
      <c r="G4" s="6">
        <v>1.365</v>
      </c>
      <c r="H4" s="6">
        <f>(F4+G4)/2</f>
        <v>1.4750000000000001</v>
      </c>
      <c r="I4" s="6">
        <f>$B$13*G4</f>
        <v>0.54600000000000004</v>
      </c>
      <c r="J4" s="6">
        <f>0.5*$B$13*(F4-G4)</f>
        <v>4.3999999999999997E-2</v>
      </c>
      <c r="K4" s="6">
        <f>I4+J4</f>
        <v>0.59000000000000008</v>
      </c>
      <c r="L4" s="6">
        <f>K4/COS(RADIANS($B$14))</f>
        <v>0.62036271230057771</v>
      </c>
    </row>
    <row r="5" spans="1:12" ht="15" customHeight="1" x14ac:dyDescent="0.3">
      <c r="A5" s="5">
        <v>2</v>
      </c>
      <c r="B5" s="6">
        <v>3.0688433836301199</v>
      </c>
      <c r="C5" s="7">
        <f>B5/SQRT(9.81*($B$11/($B$12*9.81))^(1/3))</f>
        <v>1.7883984761439919</v>
      </c>
      <c r="D5" s="7">
        <f>INDEX('Resistance tests'!$D$4:$D$16,MATCH(B5,'Resistance tests'!$B$4:$B$16,1))+(B5-INDEX('Resistance tests'!$B$4:$B$16,MATCH(B5,'Resistance tests'!$B$4:$B$16,1)))*(INDEX('Resistance tests'!$D$4:$D$16,MATCH(B5,'Resistance tests'!$B$4:$B$16,1)+1)-INDEX('Resistance tests'!$D$4:$D$16,MATCH(B5,'Resistance tests'!$B$4:$B$16,1)))/(INDEX('Resistance tests'!$B$4:$B$16,MATCH(B5,'Resistance tests'!$B$4:$B$16,1)+1)-INDEX('Resistance tests'!$B$4:$B$16,MATCH(B5,'Resistance tests'!$B$4:$B$16,1)))</f>
        <v>42.306330079660704</v>
      </c>
      <c r="E5" s="7">
        <f>INDEX('Resistance tests'!$E$4:$E$16,MATCH(B5,'Resistance tests'!$B$4:$B$16,1))+(B5-INDEX('Resistance tests'!$B$4:$B$16,MATCH(B5,'Resistance tests'!$B$4:$B$16,1)))*(INDEX('Resistance tests'!$E$4:$E$16,MATCH(B5,'Resistance tests'!$B$4:$B$16,1)+1)-INDEX('Resistance tests'!$E$4:$E$16,MATCH(B5,'Resistance tests'!$B$4:$B$16,1)))/(INDEX('Resistance tests'!$B$4:$B$16,MATCH(B5,'Resistance tests'!$B$4:$B$16,1)+1)-INDEX('Resistance tests'!$B$4:$B$16,MATCH(B5,'Resistance tests'!$B$4:$B$16,1)))</f>
        <v>6.8801941250928129</v>
      </c>
      <c r="F5" s="6">
        <v>1.42</v>
      </c>
      <c r="G5" s="6">
        <v>1.0649999999999999</v>
      </c>
      <c r="H5" s="6">
        <f>(F5+G5)/2</f>
        <v>1.2424999999999999</v>
      </c>
      <c r="I5" s="6">
        <f>$B$13*G5</f>
        <v>0.42599999999999999</v>
      </c>
      <c r="J5" s="6">
        <f>0.5*$B$13*(F5-G5)</f>
        <v>7.0999999999999994E-2</v>
      </c>
      <c r="K5" s="6">
        <f>I5+J5</f>
        <v>0.497</v>
      </c>
      <c r="L5" s="6">
        <f>K5/COS(RADIANS($B$14))</f>
        <v>0.52257672544641887</v>
      </c>
    </row>
    <row r="6" spans="1:12" ht="15" customHeight="1" x14ac:dyDescent="0.3">
      <c r="A6" s="5">
        <v>3</v>
      </c>
      <c r="B6" s="6">
        <v>4.1041320298512796</v>
      </c>
      <c r="C6" s="7">
        <f>B6/SQRT(9.81*($B$11/($B$12*9.81))^(1/3))</f>
        <v>2.3917230534578588</v>
      </c>
      <c r="D6" s="7">
        <f>INDEX('Resistance tests'!$D$4:$D$16,MATCH(B6,'Resistance tests'!$B$4:$B$16,1))+(B6-INDEX('Resistance tests'!$B$4:$B$16,MATCH(B6,'Resistance tests'!$B$4:$B$16,1)))*(INDEX('Resistance tests'!$D$4:$D$16,MATCH(B6,'Resistance tests'!$B$4:$B$16,1)+1)-INDEX('Resistance tests'!$D$4:$D$16,MATCH(B6,'Resistance tests'!$B$4:$B$16,1)))/(INDEX('Resistance tests'!$B$4:$B$16,MATCH(B6,'Resistance tests'!$B$4:$B$16,1)+1)-INDEX('Resistance tests'!$B$4:$B$16,MATCH(B6,'Resistance tests'!$B$4:$B$16,1)))</f>
        <v>47.727369554337628</v>
      </c>
      <c r="E6" s="7">
        <f>INDEX('Resistance tests'!$E$4:$E$16,MATCH(B6,'Resistance tests'!$B$4:$B$16,1))+(B6-INDEX('Resistance tests'!$B$4:$B$16,MATCH(B6,'Resistance tests'!$B$4:$B$16,1)))*(INDEX('Resistance tests'!$E$4:$E$16,MATCH(B6,'Resistance tests'!$B$4:$B$16,1)+1)-INDEX('Resistance tests'!$E$4:$E$16,MATCH(B6,'Resistance tests'!$B$4:$B$16,1)))/(INDEX('Resistance tests'!$B$4:$B$16,MATCH(B6,'Resistance tests'!$B$4:$B$16,1)+1)-INDEX('Resistance tests'!$B$4:$B$16,MATCH(B6,'Resistance tests'!$B$4:$B$16,1)))</f>
        <v>7.3849499078390428</v>
      </c>
      <c r="F6" s="6">
        <v>1.175</v>
      </c>
      <c r="G6" s="6">
        <v>0.84499999999999997</v>
      </c>
      <c r="H6" s="6">
        <f>(F6+G6)/2</f>
        <v>1.01</v>
      </c>
      <c r="I6" s="6">
        <f>$B$13*G6</f>
        <v>0.33800000000000002</v>
      </c>
      <c r="J6" s="6">
        <f>0.5*$B$13*(F6-G6)</f>
        <v>6.6000000000000017E-2</v>
      </c>
      <c r="K6" s="6">
        <f>I6+J6</f>
        <v>0.40400000000000003</v>
      </c>
      <c r="L6" s="6">
        <f>K6/COS(RADIANS($B$14))</f>
        <v>0.42479073859226002</v>
      </c>
    </row>
    <row r="7" spans="1:12" ht="15" customHeight="1" x14ac:dyDescent="0.3">
      <c r="A7" s="5">
        <v>4</v>
      </c>
      <c r="B7" s="6">
        <v>5.1322832001580103</v>
      </c>
      <c r="C7" s="7">
        <f>B7/SQRT(9.81*($B$11/($B$12*9.81))^(1/3))</f>
        <v>2.9908881969221621</v>
      </c>
      <c r="D7" s="7">
        <f>INDEX('Resistance tests'!$D$4:$D$16,MATCH(B7,'Resistance tests'!$B$4:$B$16,1))+(B7-INDEX('Resistance tests'!$B$4:$B$16,MATCH(B7,'Resistance tests'!$B$4:$B$16,1)))*(INDEX('Resistance tests'!$D$4:$D$16,MATCH(B7,'Resistance tests'!$B$4:$B$16,1)+1)-INDEX('Resistance tests'!$D$4:$D$16,MATCH(B7,'Resistance tests'!$B$4:$B$16,1)))/(INDEX('Resistance tests'!$B$4:$B$16,MATCH(B7,'Resistance tests'!$B$4:$B$16,1)+1)-INDEX('Resistance tests'!$B$4:$B$16,MATCH(B7,'Resistance tests'!$B$4:$B$16,1)))</f>
        <v>48.309971401566443</v>
      </c>
      <c r="E7" s="7">
        <f>INDEX('Resistance tests'!$E$4:$E$16,MATCH(B7,'Resistance tests'!$B$4:$B$16,1))+(B7-INDEX('Resistance tests'!$B$4:$B$16,MATCH(B7,'Resistance tests'!$B$4:$B$16,1)))*(INDEX('Resistance tests'!$E$4:$E$16,MATCH(B7,'Resistance tests'!$B$4:$B$16,1)+1)-INDEX('Resistance tests'!$E$4:$E$16,MATCH(B7,'Resistance tests'!$B$4:$B$16,1)))/(INDEX('Resistance tests'!$B$4:$B$16,MATCH(B7,'Resistance tests'!$B$4:$B$16,1)+1)-INDEX('Resistance tests'!$B$4:$B$16,MATCH(B7,'Resistance tests'!$B$4:$B$16,1)))</f>
        <v>6.3862575358227485</v>
      </c>
      <c r="F7" s="6">
        <v>1.05</v>
      </c>
      <c r="G7" s="6">
        <v>0.73</v>
      </c>
      <c r="H7" s="6">
        <f>(F7+G7)/2</f>
        <v>0.89</v>
      </c>
      <c r="I7" s="6">
        <f>$B$13*G7</f>
        <v>0.29199999999999998</v>
      </c>
      <c r="J7" s="6">
        <f>0.5*$B$13*(F7-G7)</f>
        <v>6.4000000000000015E-2</v>
      </c>
      <c r="K7" s="6">
        <f>I7+J7</f>
        <v>0.35599999999999998</v>
      </c>
      <c r="L7" s="6">
        <f>K7/COS(RADIANS($B$14))</f>
        <v>0.37432055182882312</v>
      </c>
    </row>
    <row r="10" spans="1:12" ht="15" customHeight="1" x14ac:dyDescent="0.3">
      <c r="A10" s="2" t="s">
        <v>24</v>
      </c>
    </row>
    <row r="11" spans="1:12" ht="15" customHeight="1" x14ac:dyDescent="0.3">
      <c r="A11" s="4" t="s">
        <v>25</v>
      </c>
      <c r="B11" s="5">
        <v>264.87</v>
      </c>
      <c r="C11" s="4"/>
    </row>
    <row r="12" spans="1:12" ht="23.25" customHeight="1" x14ac:dyDescent="0.3">
      <c r="A12" s="4" t="s">
        <v>39</v>
      </c>
      <c r="B12" s="5">
        <v>998.40830000000005</v>
      </c>
      <c r="C12" s="4" t="s">
        <v>27</v>
      </c>
    </row>
    <row r="13" spans="1:12" ht="15" customHeight="1" x14ac:dyDescent="0.3">
      <c r="A13" s="4" t="s">
        <v>40</v>
      </c>
      <c r="B13" s="5">
        <v>0.4</v>
      </c>
      <c r="C13" s="4"/>
    </row>
    <row r="14" spans="1:12" ht="15" customHeight="1" x14ac:dyDescent="0.3">
      <c r="A14" s="4" t="s">
        <v>41</v>
      </c>
      <c r="B14" s="5">
        <v>18</v>
      </c>
      <c r="C14" s="4"/>
    </row>
    <row r="16" spans="1:12" ht="15" customHeight="1" x14ac:dyDescent="0.3">
      <c r="A16" s="2"/>
    </row>
    <row r="17" spans="1:9" ht="15" customHeight="1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ht="15" customHeight="1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15" customHeight="1" x14ac:dyDescent="0.3">
      <c r="A19" s="1"/>
      <c r="B19" s="1"/>
      <c r="C19" s="1"/>
      <c r="D19" s="1"/>
      <c r="E19" s="1"/>
      <c r="F19" s="1"/>
      <c r="G19" s="1"/>
      <c r="H19" s="1"/>
      <c r="I19" s="1"/>
    </row>
  </sheetData>
  <mergeCells count="3">
    <mergeCell ref="A17:I17"/>
    <mergeCell ref="A18:I18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dimensions</vt:lpstr>
      <vt:lpstr>Resistance tests</vt:lpstr>
      <vt:lpstr>Wetted area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Raji, T, Mr [24086533@sun.ac.za]</cp:lastModifiedBy>
  <cp:revision>0</cp:revision>
  <dcterms:created xsi:type="dcterms:W3CDTF">2026-10-01T06:44:30Z</dcterms:created>
  <dcterms:modified xsi:type="dcterms:W3CDTF">2026-10-03T09:54:43Z</dcterms:modified>
  <dc:language>en-US</dc:language>
</cp:coreProperties>
</file>